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Track\Mazen_Analytics Diploma\Project\Misuo Project\"/>
    </mc:Choice>
  </mc:AlternateContent>
  <xr:revisionPtr revIDLastSave="0" documentId="13_ncr:1_{34F18A5F-CC30-476A-967C-DF36D0E4A755}" xr6:coauthVersionLast="47" xr6:coauthVersionMax="47" xr10:uidLastSave="{00000000-0000-0000-0000-000000000000}"/>
  <bookViews>
    <workbookView xWindow="-108" yWindow="-108" windowWidth="23256" windowHeight="12456" activeTab="2" xr2:uid="{00000000-000D-0000-FFFF-FFFF00000000}"/>
  </bookViews>
  <sheets>
    <sheet name="البيانات" sheetId="4" r:id="rId1"/>
    <sheet name="التحليل" sheetId="6" r:id="rId2"/>
    <sheet name="Dashboard" sheetId="7" r:id="rId3"/>
  </sheets>
  <definedNames>
    <definedName name="_xlnm._FilterDatabase" localSheetId="0" hidden="1">البيانات!$A$1:$U$113</definedName>
    <definedName name="Slicer_المحافظه">#N/A</definedName>
    <definedName name="Slicer_نوع_العميل">#N/A</definedName>
  </definedNames>
  <calcPr calcId="191028"/>
  <pivotCaches>
    <pivotCache cacheId="1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57" i="4" l="1"/>
  <c r="S58" i="4"/>
  <c r="S90" i="4"/>
  <c r="S87" i="4"/>
  <c r="S91" i="4"/>
  <c r="S30" i="4"/>
  <c r="S88" i="4"/>
  <c r="S50" i="4"/>
  <c r="S17" i="4"/>
  <c r="S92" i="4"/>
  <c r="S27" i="4"/>
  <c r="S79" i="4"/>
  <c r="S93" i="4"/>
  <c r="S34" i="4"/>
  <c r="S64" i="4"/>
  <c r="S94" i="4"/>
  <c r="S53" i="4"/>
  <c r="S60" i="4"/>
  <c r="S95" i="4"/>
  <c r="S65" i="4"/>
  <c r="S37" i="4"/>
  <c r="S38" i="4"/>
  <c r="S69" i="4"/>
  <c r="S70" i="4"/>
  <c r="S96" i="4"/>
  <c r="S71" i="4"/>
  <c r="S46" i="4"/>
  <c r="S97" i="4"/>
  <c r="S98" i="4"/>
  <c r="S39" i="4"/>
  <c r="S40" i="4"/>
  <c r="S45" i="4"/>
  <c r="S99" i="4"/>
  <c r="S41" i="4"/>
  <c r="S42" i="4"/>
  <c r="S10" i="4"/>
  <c r="S43" i="4"/>
  <c r="S5" i="4"/>
  <c r="S100" i="4"/>
  <c r="S12" i="4"/>
  <c r="S35" i="4"/>
  <c r="S6" i="4"/>
  <c r="S4" i="4"/>
  <c r="S14" i="4"/>
  <c r="S15" i="4"/>
  <c r="S7" i="4"/>
  <c r="S101" i="4"/>
  <c r="S18" i="4"/>
  <c r="S8" i="4"/>
  <c r="S11" i="4"/>
  <c r="S102" i="4"/>
  <c r="S47" i="4"/>
  <c r="S22" i="4"/>
  <c r="S13" i="4"/>
  <c r="S16" i="4"/>
  <c r="S9" i="4"/>
  <c r="S2" i="4"/>
  <c r="S36" i="4"/>
  <c r="S24" i="4"/>
  <c r="S59" i="4"/>
  <c r="S103" i="4"/>
  <c r="S48" i="4"/>
  <c r="S104" i="4"/>
  <c r="S31" i="4"/>
  <c r="S61" i="4"/>
  <c r="S74" i="4"/>
  <c r="S75" i="4"/>
  <c r="S76" i="4"/>
  <c r="S77" i="4"/>
  <c r="S105" i="4"/>
  <c r="S32" i="4"/>
  <c r="S78" i="4"/>
  <c r="S28" i="4"/>
  <c r="S44" i="4"/>
  <c r="S84" i="4"/>
  <c r="S3" i="4"/>
  <c r="S23" i="4"/>
  <c r="S20" i="4"/>
  <c r="S106" i="4"/>
  <c r="S19" i="4"/>
  <c r="S81" i="4"/>
  <c r="S107" i="4"/>
  <c r="S29" i="4"/>
  <c r="S25" i="4"/>
  <c r="S26" i="4"/>
  <c r="S51" i="4"/>
  <c r="S82" i="4"/>
  <c r="S66" i="4"/>
  <c r="S62" i="4"/>
  <c r="S54" i="4"/>
  <c r="S63" i="4"/>
  <c r="S67" i="4"/>
  <c r="S68" i="4"/>
  <c r="S72" i="4"/>
  <c r="S83" i="4"/>
  <c r="S108" i="4"/>
  <c r="S85" i="4"/>
  <c r="S52" i="4"/>
  <c r="S89" i="4"/>
  <c r="S21" i="4"/>
  <c r="S33" i="4"/>
  <c r="S109" i="4"/>
  <c r="S110" i="4"/>
  <c r="S111" i="4"/>
  <c r="S112" i="4"/>
  <c r="S113" i="4"/>
  <c r="S73" i="4"/>
  <c r="S55" i="4"/>
  <c r="S86" i="4"/>
  <c r="S80" i="4"/>
  <c r="S49" i="4"/>
  <c r="S56" i="4"/>
  <c r="R57" i="4"/>
  <c r="R58" i="4"/>
  <c r="R90" i="4"/>
  <c r="R87" i="4"/>
  <c r="R91" i="4"/>
  <c r="R30" i="4"/>
  <c r="R88" i="4"/>
  <c r="R50" i="4"/>
  <c r="R17" i="4"/>
  <c r="R92" i="4"/>
  <c r="R27" i="4"/>
  <c r="R79" i="4"/>
  <c r="R93" i="4"/>
  <c r="R34" i="4"/>
  <c r="R64" i="4"/>
  <c r="R94" i="4"/>
  <c r="R53" i="4"/>
  <c r="R60" i="4"/>
  <c r="R95" i="4"/>
  <c r="R65" i="4"/>
  <c r="R37" i="4"/>
  <c r="R38" i="4"/>
  <c r="R69" i="4"/>
  <c r="R70" i="4"/>
  <c r="R96" i="4"/>
  <c r="R71" i="4"/>
  <c r="R46" i="4"/>
  <c r="R97" i="4"/>
  <c r="R98" i="4"/>
  <c r="R39" i="4"/>
  <c r="R40" i="4"/>
  <c r="R45" i="4"/>
  <c r="R99" i="4"/>
  <c r="R41" i="4"/>
  <c r="R42" i="4"/>
  <c r="R10" i="4"/>
  <c r="R43" i="4"/>
  <c r="R5" i="4"/>
  <c r="R100" i="4"/>
  <c r="R12" i="4"/>
  <c r="R35" i="4"/>
  <c r="R6" i="4"/>
  <c r="R4" i="4"/>
  <c r="R14" i="4"/>
  <c r="R15" i="4"/>
  <c r="R7" i="4"/>
  <c r="R101" i="4"/>
  <c r="R18" i="4"/>
  <c r="R8" i="4"/>
  <c r="R11" i="4"/>
  <c r="R102" i="4"/>
  <c r="R47" i="4"/>
  <c r="R22" i="4"/>
  <c r="R13" i="4"/>
  <c r="R16" i="4"/>
  <c r="R9" i="4"/>
  <c r="R2" i="4"/>
  <c r="R36" i="4"/>
  <c r="R24" i="4"/>
  <c r="R59" i="4"/>
  <c r="R103" i="4"/>
  <c r="R48" i="4"/>
  <c r="R104" i="4"/>
  <c r="R31" i="4"/>
  <c r="R61" i="4"/>
  <c r="R74" i="4"/>
  <c r="R75" i="4"/>
  <c r="R76" i="4"/>
  <c r="R77" i="4"/>
  <c r="R105" i="4"/>
  <c r="R32" i="4"/>
  <c r="R78" i="4"/>
  <c r="R28" i="4"/>
  <c r="R44" i="4"/>
  <c r="R84" i="4"/>
  <c r="R3" i="4"/>
  <c r="R23" i="4"/>
  <c r="R20" i="4"/>
  <c r="R106" i="4"/>
  <c r="R19" i="4"/>
  <c r="R81" i="4"/>
  <c r="R107" i="4"/>
  <c r="R29" i="4"/>
  <c r="R25" i="4"/>
  <c r="R26" i="4"/>
  <c r="R51" i="4"/>
  <c r="R82" i="4"/>
  <c r="R66" i="4"/>
  <c r="R62" i="4"/>
  <c r="R54" i="4"/>
  <c r="R63" i="4"/>
  <c r="R67" i="4"/>
  <c r="R68" i="4"/>
  <c r="R72" i="4"/>
  <c r="R83" i="4"/>
  <c r="R108" i="4"/>
  <c r="R85" i="4"/>
  <c r="R52" i="4"/>
  <c r="R89" i="4"/>
  <c r="R21" i="4"/>
  <c r="R33" i="4"/>
  <c r="R109" i="4"/>
  <c r="R110" i="4"/>
  <c r="R111" i="4"/>
  <c r="R112" i="4"/>
  <c r="R113" i="4"/>
  <c r="R73" i="4"/>
  <c r="R55" i="4"/>
  <c r="R86" i="4"/>
  <c r="R80" i="4"/>
  <c r="R49" i="4"/>
  <c r="R56" i="4"/>
  <c r="M9" i="6"/>
  <c r="G9" i="6"/>
  <c r="B9" i="6"/>
  <c r="V112" i="4" l="1"/>
  <c r="V68" i="4"/>
  <c r="V110" i="4"/>
  <c r="V63" i="4"/>
  <c r="V109" i="4"/>
  <c r="V54" i="4"/>
  <c r="V20" i="4"/>
  <c r="V74" i="4"/>
  <c r="V13" i="4"/>
  <c r="V6" i="4"/>
  <c r="V39" i="4"/>
  <c r="V60" i="4"/>
  <c r="V30" i="4"/>
  <c r="V33" i="4"/>
  <c r="V62" i="4"/>
  <c r="V23" i="4"/>
  <c r="V61" i="4"/>
  <c r="V22" i="4"/>
  <c r="V35" i="4"/>
  <c r="V98" i="4"/>
  <c r="V53" i="4"/>
  <c r="V91" i="4"/>
  <c r="V38" i="4"/>
  <c r="V86" i="4"/>
  <c r="V26" i="4"/>
  <c r="V56" i="4"/>
  <c r="V21" i="4"/>
  <c r="V66" i="4"/>
  <c r="V3" i="4"/>
  <c r="V31" i="4"/>
  <c r="V47" i="4"/>
  <c r="V12" i="4"/>
  <c r="V97" i="4"/>
  <c r="V94" i="4"/>
  <c r="V87" i="4"/>
  <c r="V102" i="4"/>
  <c r="V52" i="4"/>
  <c r="V44" i="4"/>
  <c r="V11" i="4"/>
  <c r="V34" i="4"/>
  <c r="V85" i="4"/>
  <c r="V28" i="4"/>
  <c r="V103" i="4"/>
  <c r="V8" i="4"/>
  <c r="V43" i="4"/>
  <c r="V96" i="4"/>
  <c r="V93" i="4"/>
  <c r="V57" i="4"/>
  <c r="V82" i="4"/>
  <c r="V46" i="4"/>
  <c r="V80" i="4"/>
  <c r="V51" i="4"/>
  <c r="V48" i="4"/>
  <c r="V5" i="4"/>
  <c r="V71" i="4"/>
  <c r="V58" i="4"/>
  <c r="V55" i="4"/>
  <c r="V108" i="4"/>
  <c r="V25" i="4"/>
  <c r="V78" i="4"/>
  <c r="V59" i="4"/>
  <c r="V18" i="4"/>
  <c r="V10" i="4"/>
  <c r="V70" i="4"/>
  <c r="V79" i="4"/>
  <c r="V89" i="4"/>
  <c r="V64" i="4"/>
  <c r="V73" i="4"/>
  <c r="V29" i="4"/>
  <c r="V24" i="4"/>
  <c r="V69" i="4"/>
  <c r="V84" i="4"/>
  <c r="V83" i="4"/>
  <c r="V32" i="4"/>
  <c r="V101" i="4"/>
  <c r="V42" i="4"/>
  <c r="V27" i="4"/>
  <c r="V113" i="4"/>
  <c r="V72" i="4"/>
  <c r="V107" i="4"/>
  <c r="V105" i="4"/>
  <c r="V36" i="4"/>
  <c r="V7" i="4"/>
  <c r="V41" i="4"/>
  <c r="V104" i="4"/>
  <c r="V81" i="4"/>
  <c r="V77" i="4"/>
  <c r="V2" i="4"/>
  <c r="V15" i="4"/>
  <c r="V99" i="4"/>
  <c r="V37" i="4"/>
  <c r="V17" i="4"/>
  <c r="V49" i="4"/>
  <c r="V100" i="4"/>
  <c r="V111" i="4"/>
  <c r="V67" i="4"/>
  <c r="V19" i="4"/>
  <c r="V76" i="4"/>
  <c r="V9" i="4"/>
  <c r="V14" i="4"/>
  <c r="V45" i="4"/>
  <c r="V65" i="4"/>
  <c r="V50" i="4"/>
  <c r="V75" i="4"/>
  <c r="V16" i="4"/>
  <c r="V4" i="4"/>
  <c r="V40" i="4"/>
  <c r="V95" i="4"/>
  <c r="V88" i="4"/>
</calcChain>
</file>

<file path=xl/sharedStrings.xml><?xml version="1.0" encoding="utf-8"?>
<sst xmlns="http://schemas.openxmlformats.org/spreadsheetml/2006/main" count="1418" uniqueCount="314">
  <si>
    <t>أسم العميل</t>
  </si>
  <si>
    <t>العنوان</t>
  </si>
  <si>
    <t>المنتج</t>
  </si>
  <si>
    <t>تاريخ التسليم</t>
  </si>
  <si>
    <t>المسئول عن التسليم</t>
  </si>
  <si>
    <t xml:space="preserve">منصة البيع </t>
  </si>
  <si>
    <t>هومزمارت</t>
  </si>
  <si>
    <t xml:space="preserve">سعر البيع </t>
  </si>
  <si>
    <t>ميعاد التسليم</t>
  </si>
  <si>
    <t>ميعاد الطلب</t>
  </si>
  <si>
    <t xml:space="preserve">خالد عبد القوى </t>
  </si>
  <si>
    <t>العجوزه - الجيزه</t>
  </si>
  <si>
    <t xml:space="preserve">سرير منطبق الحديد ابيض والقماش ابيض </t>
  </si>
  <si>
    <t>مسبق الدفع</t>
  </si>
  <si>
    <t>محمود</t>
  </si>
  <si>
    <t>سموحه - اسكندريه</t>
  </si>
  <si>
    <t xml:space="preserve">سرير منطبق اسود والقماش اسود </t>
  </si>
  <si>
    <t>سعيد</t>
  </si>
  <si>
    <t xml:space="preserve">سيدى عبد الرحمن - الساحل الشمالى </t>
  </si>
  <si>
    <t xml:space="preserve">سرير كيفينج مقاس 90 لون ازرق </t>
  </si>
  <si>
    <t>ساندرا</t>
  </si>
  <si>
    <t xml:space="preserve">الغردقه </t>
  </si>
  <si>
    <t xml:space="preserve">ترابيزه قهوه متحركه </t>
  </si>
  <si>
    <t xml:space="preserve">تم التسليم عن طريق شركه شحن </t>
  </si>
  <si>
    <t xml:space="preserve">زينا </t>
  </si>
  <si>
    <t xml:space="preserve">سرير نوفال متر رمادى </t>
  </si>
  <si>
    <t xml:space="preserve">شيك هومز </t>
  </si>
  <si>
    <t xml:space="preserve">كنبه سرير رمادى </t>
  </si>
  <si>
    <t xml:space="preserve">احمد </t>
  </si>
  <si>
    <t>التجمع الخامس</t>
  </si>
  <si>
    <t xml:space="preserve">فشل التسليم </t>
  </si>
  <si>
    <t>yilmaz</t>
  </si>
  <si>
    <t xml:space="preserve">٦ اكتوبر الجيزه </t>
  </si>
  <si>
    <t xml:space="preserve">سرير فردى ابيض </t>
  </si>
  <si>
    <t xml:space="preserve">تاكى </t>
  </si>
  <si>
    <t>العباسيه</t>
  </si>
  <si>
    <t>تاكى</t>
  </si>
  <si>
    <t xml:space="preserve">ركنه </t>
  </si>
  <si>
    <t>٢ كنبه سحاره بمخدع</t>
  </si>
  <si>
    <t xml:space="preserve">العباسيه </t>
  </si>
  <si>
    <t xml:space="preserve">٢ كنبه سحاره بدون مخدع </t>
  </si>
  <si>
    <t xml:space="preserve">على رشوان </t>
  </si>
  <si>
    <t>مصر الجديده</t>
  </si>
  <si>
    <t>سرير نوفال ابيض مقاس ٨٠</t>
  </si>
  <si>
    <t xml:space="preserve">سرير كينج ابيض </t>
  </si>
  <si>
    <t>شيك هومز</t>
  </si>
  <si>
    <t xml:space="preserve">سرير كينج اسود </t>
  </si>
  <si>
    <t xml:space="preserve">فيصل نعيم </t>
  </si>
  <si>
    <t xml:space="preserve">التجمع الخامس </t>
  </si>
  <si>
    <t xml:space="preserve">اوسكار ريتن </t>
  </si>
  <si>
    <t xml:space="preserve">٢ سرير كيفنج ١٢٠ اسود </t>
  </si>
  <si>
    <t>ellho elkafy</t>
  </si>
  <si>
    <t xml:space="preserve">مدينه نصر </t>
  </si>
  <si>
    <t xml:space="preserve">سرير كينج ابيض مقاس ٨٠ التصميم الجديد </t>
  </si>
  <si>
    <t xml:space="preserve">لينا </t>
  </si>
  <si>
    <t xml:space="preserve">المقطم </t>
  </si>
  <si>
    <t xml:space="preserve">ترابيزه قهوه علويه جديده </t>
  </si>
  <si>
    <t xml:space="preserve">٢ فوتيه فنيسيا </t>
  </si>
  <si>
    <t xml:space="preserve">احمد فخرى </t>
  </si>
  <si>
    <t>سرير فردى خشب موسكى الحديد ابيض مقاس ٨٠</t>
  </si>
  <si>
    <t>القاهره الجديده</t>
  </si>
  <si>
    <t>٤سرير فردى خشب موسكى الحديد ابيض مقاس ٨٠</t>
  </si>
  <si>
    <t>حسن حازم</t>
  </si>
  <si>
    <t>سرير اسبانى ابيض ١٢٠</t>
  </si>
  <si>
    <t xml:space="preserve">رنا </t>
  </si>
  <si>
    <t xml:space="preserve">القطاميه </t>
  </si>
  <si>
    <t xml:space="preserve">على السيد </t>
  </si>
  <si>
    <t xml:space="preserve">الشروق القاهره </t>
  </si>
  <si>
    <t xml:space="preserve">هشام بسيونى </t>
  </si>
  <si>
    <t xml:space="preserve">حدايق الاهرام </t>
  </si>
  <si>
    <t xml:space="preserve">سرير نوفال  ٩٠ اسود </t>
  </si>
  <si>
    <t xml:space="preserve">            ٢ سرير كيفنج ١٠٠ اسود </t>
  </si>
  <si>
    <t>عبير نور الدين</t>
  </si>
  <si>
    <t xml:space="preserve">١٨ شارع البحيري بولاق الدكرور الجيزه </t>
  </si>
  <si>
    <t xml:space="preserve">سرير ٣ ادورا اسود مقاس ١٠٠ </t>
  </si>
  <si>
    <t>اوسكار راتن</t>
  </si>
  <si>
    <t xml:space="preserve">مخزن اوسكار في القناطر </t>
  </si>
  <si>
    <t>حساب شركه</t>
  </si>
  <si>
    <t xml:space="preserve">٢ سرير ارفيل ١٢٠ اسود </t>
  </si>
  <si>
    <t>٢ سريرفورجينا خشب موسكى ابيض مقاس ١٢٠</t>
  </si>
  <si>
    <t>الشروق</t>
  </si>
  <si>
    <t xml:space="preserve">ساره وجيه </t>
  </si>
  <si>
    <t xml:space="preserve">سرير كيفنج دورين مقاس ٨٠ ابيض </t>
  </si>
  <si>
    <t xml:space="preserve">سرير ٣ ادوار ابيض مقاس ٨٠ ابيض </t>
  </si>
  <si>
    <t xml:space="preserve">مها </t>
  </si>
  <si>
    <t xml:space="preserve">لافيستا العين السخنه </t>
  </si>
  <si>
    <t>سرير استيل ازرق مقاس ١٤٠</t>
  </si>
  <si>
    <t xml:space="preserve">اسراء ابو العنين </t>
  </si>
  <si>
    <t>سرير اسبانى اسود مقاس ١٢٠</t>
  </si>
  <si>
    <t xml:space="preserve">بسام الشربينى </t>
  </si>
  <si>
    <t xml:space="preserve">سرير كينج ١٢٠ بنفسجى </t>
  </si>
  <si>
    <t>وائل صادق</t>
  </si>
  <si>
    <t xml:space="preserve">سرير كوين مقاس ١٤٠ دهبي ورمادى </t>
  </si>
  <si>
    <t xml:space="preserve">هبه عبد الفتاح </t>
  </si>
  <si>
    <t xml:space="preserve">القاهره الجديده </t>
  </si>
  <si>
    <t xml:space="preserve">كنبه سرير ٤ حركه </t>
  </si>
  <si>
    <t xml:space="preserve">حاتم العيسوي </t>
  </si>
  <si>
    <t>سرير منطبق اسود حديد وقماش</t>
  </si>
  <si>
    <t>صفاء</t>
  </si>
  <si>
    <t>المعادى</t>
  </si>
  <si>
    <t xml:space="preserve">اسراء ابراهيم </t>
  </si>
  <si>
    <t xml:space="preserve">طارق كمال </t>
  </si>
  <si>
    <t xml:space="preserve">سرير ٣ ادوار اسود مقاس ٩٠ </t>
  </si>
  <si>
    <t xml:space="preserve">مصطفي غنيم </t>
  </si>
  <si>
    <t xml:space="preserve">اسيوط </t>
  </si>
  <si>
    <t xml:space="preserve">سرير كيفنج دورين مقاس ١٢٠ رمادى </t>
  </si>
  <si>
    <t>حسام عبدون</t>
  </si>
  <si>
    <t>الغردقه</t>
  </si>
  <si>
    <t xml:space="preserve">اياد </t>
  </si>
  <si>
    <t>ميار خورشد</t>
  </si>
  <si>
    <t xml:space="preserve">سرير منطبق اسود حديد ومعدن </t>
  </si>
  <si>
    <t xml:space="preserve">عبد الله سيد </t>
  </si>
  <si>
    <t xml:space="preserve">الشيخ زايد ٦ اكتوبر </t>
  </si>
  <si>
    <t xml:space="preserve">سرير اسبانى  ١٤٠ اسود وبيج </t>
  </si>
  <si>
    <t xml:space="preserve">كينج سونا </t>
  </si>
  <si>
    <t xml:space="preserve">تربيزه قهوه مرتفعه برف سحاب </t>
  </si>
  <si>
    <t xml:space="preserve">رامى </t>
  </si>
  <si>
    <t xml:space="preserve">سرير نوفال ١٠٠ رمادى </t>
  </si>
  <si>
    <t xml:space="preserve">احمد خالد </t>
  </si>
  <si>
    <t>الرحاب</t>
  </si>
  <si>
    <t xml:space="preserve"> ٢. سرير فورجينا ابيض مقاس ١٢٠</t>
  </si>
  <si>
    <t>ساره</t>
  </si>
  <si>
    <t xml:space="preserve">   ٢. سرير اسبانى ابيض ١٢٠</t>
  </si>
  <si>
    <t>رحاب</t>
  </si>
  <si>
    <t xml:space="preserve">احمد ايمن </t>
  </si>
  <si>
    <t>العبور</t>
  </si>
  <si>
    <t xml:space="preserve">فؤاد المنسي </t>
  </si>
  <si>
    <t xml:space="preserve">سرير نوفال مقاس ٨٠ ابيض </t>
  </si>
  <si>
    <t xml:space="preserve">ديفد بهجت </t>
  </si>
  <si>
    <t>فيصل الجيزه</t>
  </si>
  <si>
    <t>تربيزه قهوه ٢ رافع</t>
  </si>
  <si>
    <t xml:space="preserve">حسن مغرب </t>
  </si>
  <si>
    <t xml:space="preserve">سرير كيفنج ١٢٠ رمادى </t>
  </si>
  <si>
    <t>صفاء الحكيم</t>
  </si>
  <si>
    <t>العين السخنه</t>
  </si>
  <si>
    <t>سرير منطببق اسود وقماش اسود</t>
  </si>
  <si>
    <t>يوسف شناوى</t>
  </si>
  <si>
    <t xml:space="preserve">الابراهيميه . الإسكندرية </t>
  </si>
  <si>
    <t xml:space="preserve">ترابيزه قهوه علويه برف سحاب </t>
  </si>
  <si>
    <t>سرير</t>
  </si>
  <si>
    <t>منطبق</t>
  </si>
  <si>
    <t>نوفال</t>
  </si>
  <si>
    <t>فردى</t>
  </si>
  <si>
    <t>كينج</t>
  </si>
  <si>
    <t>كيفنج</t>
  </si>
  <si>
    <t>اسبانى</t>
  </si>
  <si>
    <t>ركنة</t>
  </si>
  <si>
    <t>سحارة</t>
  </si>
  <si>
    <t>ركنة بسرير</t>
  </si>
  <si>
    <t>كنبة</t>
  </si>
  <si>
    <t>كرسى</t>
  </si>
  <si>
    <t>فنسيا</t>
  </si>
  <si>
    <t>4*1</t>
  </si>
  <si>
    <t>دورين</t>
  </si>
  <si>
    <t>ابيض</t>
  </si>
  <si>
    <t>اسود</t>
  </si>
  <si>
    <t>ارفيل</t>
  </si>
  <si>
    <t>ازرق</t>
  </si>
  <si>
    <t>ثلاثه ادوار</t>
  </si>
  <si>
    <t>رمادى</t>
  </si>
  <si>
    <t>بنفسجى</t>
  </si>
  <si>
    <t>المقاس</t>
  </si>
  <si>
    <t>دهبي</t>
  </si>
  <si>
    <t>فورجينا</t>
  </si>
  <si>
    <t>كورين</t>
  </si>
  <si>
    <t>اللون المعدن</t>
  </si>
  <si>
    <t>لون القماش</t>
  </si>
  <si>
    <t>mohannad</t>
  </si>
  <si>
    <t>EL-Maadi</t>
  </si>
  <si>
    <t>Mohamed Ayman</t>
  </si>
  <si>
    <t>Madinet Badr</t>
  </si>
  <si>
    <t>2 ميكانزم</t>
  </si>
  <si>
    <t>بمكتبة</t>
  </si>
  <si>
    <t>رف سحاب</t>
  </si>
  <si>
    <t>الحالة</t>
  </si>
  <si>
    <t>اسامه</t>
  </si>
  <si>
    <t>تم التسليم</t>
  </si>
  <si>
    <t xml:space="preserve">تم التسليم محمود على </t>
  </si>
  <si>
    <t xml:space="preserve">المخزن ابو الغيط </t>
  </si>
  <si>
    <t>ولاء بدوى</t>
  </si>
  <si>
    <t>عبد الرحمن يسري</t>
  </si>
  <si>
    <t>اكتوبر الجيزه</t>
  </si>
  <si>
    <t>4×1</t>
  </si>
  <si>
    <t>مرتجع</t>
  </si>
  <si>
    <t>الحج محمد السويس</t>
  </si>
  <si>
    <t xml:space="preserve">السويس </t>
  </si>
  <si>
    <t>السويس</t>
  </si>
  <si>
    <t>فانتاستك</t>
  </si>
  <si>
    <t>فنيسيا</t>
  </si>
  <si>
    <t>رصاصي مشجر</t>
  </si>
  <si>
    <t>بيج</t>
  </si>
  <si>
    <t>شيزلونج</t>
  </si>
  <si>
    <t xml:space="preserve">نبيتى </t>
  </si>
  <si>
    <t>عمرو الأسود</t>
  </si>
  <si>
    <t>الزمالك</t>
  </si>
  <si>
    <t>مخزن شيك هومز</t>
  </si>
  <si>
    <t xml:space="preserve">بترولى </t>
  </si>
  <si>
    <t xml:space="preserve">تم التسليم بمعرفه الحج سيد </t>
  </si>
  <si>
    <t xml:space="preserve">أكتوبر </t>
  </si>
  <si>
    <t>التجمع</t>
  </si>
  <si>
    <t>keira</t>
  </si>
  <si>
    <t xml:space="preserve">نوفال </t>
  </si>
  <si>
    <t>١٤٠/١٠٠</t>
  </si>
  <si>
    <t>بينك</t>
  </si>
  <si>
    <t>tarek</t>
  </si>
  <si>
    <t>reem</t>
  </si>
  <si>
    <t>البطاش اسكندريه</t>
  </si>
  <si>
    <t>١٠٠/١٤٠</t>
  </si>
  <si>
    <t>هشام سامى</t>
  </si>
  <si>
    <t>41 كومبوند جولدن جستس الدور 4 شقه 4</t>
  </si>
  <si>
    <t xml:space="preserve">منزلى </t>
  </si>
  <si>
    <t>بلحه</t>
  </si>
  <si>
    <t>خشب بنى فاتح</t>
  </si>
  <si>
    <t>فانتستيك</t>
  </si>
  <si>
    <t>المعرض مدينه نصر</t>
  </si>
  <si>
    <t>فاطمه محمد</t>
  </si>
  <si>
    <t>أكتوبر الجيزه</t>
  </si>
  <si>
    <t>الشيخ زايد اكتوبر</t>
  </si>
  <si>
    <t>بولا هومزمارت</t>
  </si>
  <si>
    <t xml:space="preserve">محمد شكرى </t>
  </si>
  <si>
    <t>ارينا</t>
  </si>
  <si>
    <t>بترولى</t>
  </si>
  <si>
    <t>منزلى</t>
  </si>
  <si>
    <t>مدينتى</t>
  </si>
  <si>
    <t>حماده</t>
  </si>
  <si>
    <t>صفاء عبد الباقي</t>
  </si>
  <si>
    <t xml:space="preserve">كينج </t>
  </si>
  <si>
    <t>المخزن</t>
  </si>
  <si>
    <t xml:space="preserve">دورين </t>
  </si>
  <si>
    <t xml:space="preserve">مرفوض </t>
  </si>
  <si>
    <t xml:space="preserve">رندا العامرى </t>
  </si>
  <si>
    <t xml:space="preserve">كيمت </t>
  </si>
  <si>
    <t xml:space="preserve">كيفنج </t>
  </si>
  <si>
    <t>٦ اكتوبر الجيزه</t>
  </si>
  <si>
    <t xml:space="preserve">فردى </t>
  </si>
  <si>
    <t>امريكى</t>
  </si>
  <si>
    <t>محمد حمدى</t>
  </si>
  <si>
    <t>فيسبوك</t>
  </si>
  <si>
    <t xml:space="preserve">كوين </t>
  </si>
  <si>
    <t xml:space="preserve">بافلى هانى </t>
  </si>
  <si>
    <t xml:space="preserve">شبرا </t>
  </si>
  <si>
    <t xml:space="preserve">اسبانى </t>
  </si>
  <si>
    <t>t1</t>
  </si>
  <si>
    <t xml:space="preserve">تم التسليم م محمد </t>
  </si>
  <si>
    <t>رنا ميلاد</t>
  </si>
  <si>
    <t xml:space="preserve">جليم الإسكندرية </t>
  </si>
  <si>
    <t>ترابيزه</t>
  </si>
  <si>
    <t>مكتبه</t>
  </si>
  <si>
    <t>محمد ناجى</t>
  </si>
  <si>
    <t xml:space="preserve">دوران </t>
  </si>
  <si>
    <t>ميكانزم</t>
  </si>
  <si>
    <t>ابيض في بنى غامق</t>
  </si>
  <si>
    <t>احمد عبد الستار</t>
  </si>
  <si>
    <t>المندره اسكندريه</t>
  </si>
  <si>
    <t xml:space="preserve">نور </t>
  </si>
  <si>
    <t>بنى غامق</t>
  </si>
  <si>
    <t>نور</t>
  </si>
  <si>
    <t xml:space="preserve">بنى غامق </t>
  </si>
  <si>
    <t>تامر</t>
  </si>
  <si>
    <t>٢ ميكانزم</t>
  </si>
  <si>
    <t xml:space="preserve">بيج </t>
  </si>
  <si>
    <t>هناء اسامه</t>
  </si>
  <si>
    <t>القطاميه</t>
  </si>
  <si>
    <t xml:space="preserve">محمد عادل </t>
  </si>
  <si>
    <t>مريم عنان</t>
  </si>
  <si>
    <t xml:space="preserve">اب تاون كايرو التجمع </t>
  </si>
  <si>
    <t xml:space="preserve">هبه عطيه </t>
  </si>
  <si>
    <t>دوران</t>
  </si>
  <si>
    <t>حمدى ذكرى</t>
  </si>
  <si>
    <t>روك ١٠</t>
  </si>
  <si>
    <t>العميل رفض الاستلام</t>
  </si>
  <si>
    <t>الصنف</t>
  </si>
  <si>
    <t>نوع الصنف</t>
  </si>
  <si>
    <t>اسم الصنف</t>
  </si>
  <si>
    <t>نوع العميل</t>
  </si>
  <si>
    <t>شركات</t>
  </si>
  <si>
    <t>افراد</t>
  </si>
  <si>
    <t>المحافظه</t>
  </si>
  <si>
    <t>الجيزه</t>
  </si>
  <si>
    <t>اسكندريه</t>
  </si>
  <si>
    <t>الساحل الشمالى</t>
  </si>
  <si>
    <t>البحر الاحمر</t>
  </si>
  <si>
    <t>القاهره</t>
  </si>
  <si>
    <t>اسيوط</t>
  </si>
  <si>
    <t>الاسكندريه</t>
  </si>
  <si>
    <t>القليوبيه</t>
  </si>
  <si>
    <t>طريقه الدفع</t>
  </si>
  <si>
    <t>كاش</t>
  </si>
  <si>
    <t>مده التسليم الاساسيه</t>
  </si>
  <si>
    <t>مده التسليم الفعليه</t>
  </si>
  <si>
    <t xml:space="preserve">Sum of سعر البيع </t>
  </si>
  <si>
    <t>Total Sales</t>
  </si>
  <si>
    <t>Total Orders</t>
  </si>
  <si>
    <t>Row Labels</t>
  </si>
  <si>
    <t>Grand Total</t>
  </si>
  <si>
    <t>AVG.Price</t>
  </si>
  <si>
    <t xml:space="preserve">Average of سعر البيع </t>
  </si>
  <si>
    <t>التسليم ف الموعد</t>
  </si>
  <si>
    <t>Count of التسليم ف الموعد</t>
  </si>
  <si>
    <t>Count of الصنف</t>
  </si>
  <si>
    <t>Sales by Platform</t>
  </si>
  <si>
    <t>Count of الحالة</t>
  </si>
  <si>
    <t>Best Seler</t>
  </si>
  <si>
    <t>أسود</t>
  </si>
  <si>
    <t>Best Color</t>
  </si>
  <si>
    <t>on_Time Delivary</t>
  </si>
  <si>
    <t>Delivary Status</t>
  </si>
  <si>
    <t>Orders By Area</t>
  </si>
  <si>
    <t>خارج الموعد</t>
  </si>
  <si>
    <t>في الموعد</t>
  </si>
  <si>
    <t>عدد الافراد والشركات التى تتعامل معاها شركه مسيو</t>
  </si>
  <si>
    <t>الافراد</t>
  </si>
  <si>
    <t>الشركات</t>
  </si>
  <si>
    <t>Count of المنتج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</si>
</sst>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EGP]\ * #,##0_);_([$EGP]\ * \(#,##0\);_([$EGP]\ * &quot;-&quot;??_);_(@_)"/>
  </numFmts>
  <fonts count="6" x14ac:knownFonts="1">
    <font>
      <sz val="11"/>
      <color theme="1"/>
      <name val="Calibri"/>
      <family val="2"/>
      <scheme val="minor"/>
    </font>
    <font>
      <b/>
      <sz val="12"/>
      <color theme="1"/>
      <name val="Calibri"/>
      <family val="2"/>
      <scheme val="minor"/>
    </font>
    <font>
      <b/>
      <sz val="14"/>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2F2F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0" fillId="0" borderId="0" xfId="0" applyAlignment="1">
      <alignment horizontal="right" vertical="center"/>
    </xf>
    <xf numFmtId="0" fontId="0" fillId="0" borderId="1" xfId="0" applyBorder="1" applyAlignment="1">
      <alignment horizontal="right" vertical="center"/>
    </xf>
    <xf numFmtId="2" fontId="0" fillId="0" borderId="1" xfId="0" applyNumberFormat="1" applyBorder="1" applyAlignment="1">
      <alignment horizontal="right" vertical="center"/>
    </xf>
    <xf numFmtId="2" fontId="0" fillId="0" borderId="0" xfId="0" applyNumberFormat="1" applyAlignment="1">
      <alignment horizontal="right" vertical="center"/>
    </xf>
    <xf numFmtId="0" fontId="1" fillId="0" borderId="0" xfId="0" applyFont="1"/>
    <xf numFmtId="0" fontId="0" fillId="0" borderId="0" xfId="0" applyAlignment="1">
      <alignment horizontal="right"/>
    </xf>
    <xf numFmtId="14" fontId="0" fillId="0" borderId="0" xfId="0" applyNumberFormat="1"/>
    <xf numFmtId="14" fontId="0" fillId="0" borderId="0" xfId="0" applyNumberFormat="1" applyAlignment="1">
      <alignment horizontal="right" vertical="center"/>
    </xf>
    <xf numFmtId="1" fontId="0" fillId="0" borderId="0" xfId="0" applyNumberFormat="1"/>
    <xf numFmtId="1" fontId="0" fillId="0" borderId="0" xfId="0" applyNumberFormat="1" applyAlignment="1">
      <alignment horizontal="right" vertical="center"/>
    </xf>
    <xf numFmtId="0" fontId="0" fillId="0" borderId="0" xfId="0" pivotButton="1"/>
    <xf numFmtId="0" fontId="0" fillId="2" borderId="0" xfId="0" applyFill="1"/>
    <xf numFmtId="10" fontId="0" fillId="0" borderId="0" xfId="0" applyNumberFormat="1"/>
    <xf numFmtId="9" fontId="0" fillId="0" borderId="0" xfId="0" applyNumberFormat="1"/>
    <xf numFmtId="0" fontId="0" fillId="3" borderId="0" xfId="0" applyFill="1"/>
    <xf numFmtId="164" fontId="0" fillId="0" borderId="0" xfId="0" applyNumberFormat="1"/>
    <xf numFmtId="0" fontId="2" fillId="2" borderId="0" xfId="0" applyFont="1" applyFill="1" applyAlignment="1">
      <alignment horizontal="center"/>
    </xf>
    <xf numFmtId="0" fontId="0" fillId="2" borderId="0" xfId="0" applyFill="1" applyAlignment="1">
      <alignment horizontal="center"/>
    </xf>
    <xf numFmtId="0" fontId="4" fillId="2" borderId="0" xfId="0" applyFont="1" applyFill="1" applyAlignment="1">
      <alignment horizontal="center"/>
    </xf>
    <xf numFmtId="0" fontId="1" fillId="2" borderId="0" xfId="0" applyFont="1" applyFill="1" applyAlignment="1">
      <alignment horizontal="center"/>
    </xf>
    <xf numFmtId="0" fontId="5" fillId="2" borderId="0" xfId="0" applyFont="1" applyFill="1" applyAlignment="1">
      <alignment horizontal="center"/>
    </xf>
    <xf numFmtId="0" fontId="3" fillId="2" borderId="0" xfId="0" applyFont="1" applyFill="1" applyAlignment="1">
      <alignment horizontal="center"/>
    </xf>
    <xf numFmtId="0" fontId="0" fillId="0" borderId="0" xfId="0" applyNumberFormat="1"/>
  </cellXfs>
  <cellStyles count="1">
    <cellStyle name="Normal" xfId="0" builtinId="0"/>
  </cellStyles>
  <dxfs count="31">
    <dxf>
      <numFmt numFmtId="164" formatCode="_([$EGP]\ * #,##0_);_([$EGP]\ * \(#,##0\);_([$EGP]\ * &quot;-&quot;??_);_(@_)"/>
    </dxf>
    <dxf>
      <numFmt numFmtId="164" formatCode="_([$EGP]\ * #,##0_);_([$EGP]\ * \(#,##0\);_([$EGP]\ * &quot;-&quot;??_);_(@_)"/>
    </dxf>
    <dxf>
      <numFmt numFmtId="13" formatCode="0%"/>
    </dxf>
    <dxf>
      <numFmt numFmtId="165" formatCode="0.0%"/>
    </dxf>
    <dxf>
      <numFmt numFmtId="13" formatCode="0%"/>
    </dxf>
    <dxf>
      <numFmt numFmtId="13" formatCode="0%"/>
    </dxf>
    <dxf>
      <numFmt numFmtId="13" formatCode="0%"/>
    </dxf>
    <dxf>
      <numFmt numFmtId="164" formatCode="_([$EGP]\ * #,##0_);_([$EGP]\ * \(#,##0\);_([$EGP]\ * &quot;-&quot;??_);_(@_)"/>
    </dxf>
    <dxf>
      <numFmt numFmtId="164" formatCode="_([$EGP]\ * #,##0_);_([$EGP]\ * \(#,##0\);_([$EGP]\ * &quot;-&quot;??_);_(@_)"/>
    </dxf>
    <dxf>
      <numFmt numFmtId="165" formatCode="0.0%"/>
    </dxf>
    <dxf>
      <numFmt numFmtId="13" formatCode="0%"/>
    </dxf>
    <dxf>
      <numFmt numFmtId="13" formatCode="0%"/>
    </dxf>
    <dxf>
      <numFmt numFmtId="13" formatCode="0%"/>
    </dxf>
    <dxf>
      <numFmt numFmtId="13" formatCode="0%"/>
    </dxf>
    <dxf>
      <numFmt numFmtId="165" formatCode="0.0%"/>
    </dxf>
    <dxf>
      <numFmt numFmtId="13" formatCode="0%"/>
    </dxf>
    <dxf>
      <numFmt numFmtId="164" formatCode="_([$EGP]\ * #,##0_);_([$EGP]\ * \(#,##0\);_([$EGP]\ * &quot;-&quot;??_);_(@_)"/>
    </dxf>
    <dxf>
      <numFmt numFmtId="164" formatCode="_([$EGP]\ * #,##0_);_([$EGP]\ * \(#,##0\);_([$EGP]\ * &quot;-&quot;??_);_(@_)"/>
    </dxf>
    <dxf>
      <numFmt numFmtId="0" formatCode="General"/>
    </dxf>
    <dxf>
      <numFmt numFmtId="0" formatCode="General"/>
    </dxf>
    <dxf>
      <numFmt numFmtId="1" formatCode="0"/>
    </dxf>
    <dxf>
      <numFmt numFmtId="1" formatCode="0"/>
    </dxf>
    <dxf>
      <numFmt numFmtId="1" formatCode="0"/>
    </dxf>
    <dxf>
      <numFmt numFmtId="1" formatCode="0"/>
    </dxf>
    <dxf>
      <numFmt numFmtId="19" formatCode="m/d/yyyy"/>
    </dxf>
    <dxf>
      <numFmt numFmtId="19" formatCode="m/d/yyyy"/>
    </dxf>
    <dxf>
      <numFmt numFmtId="19" formatCode="m/d/yyyy"/>
    </dxf>
    <dxf>
      <numFmt numFmtId="19" formatCode="m/d/yyyy"/>
    </dxf>
    <dxf>
      <numFmt numFmtId="19" formatCode="m/d/yyyy"/>
    </dxf>
    <dxf>
      <numFmt numFmtId="19" formatCode="m/d/yyyy"/>
    </dxf>
    <dxf>
      <font>
        <b val="0"/>
        <i val="0"/>
        <sz val="10"/>
        <color rgb="FFF2F2F2"/>
      </font>
      <fill>
        <patternFill patternType="solid">
          <bgColor rgb="FF182540"/>
        </patternFill>
      </fill>
    </dxf>
  </dxfs>
  <tableStyles count="2" defaultTableStyle="TableStyleMedium2" defaultPivotStyle="PivotStyleLight16">
    <tableStyle name="Invisible" pivot="0" table="0" count="0" xr9:uid="{AA73528B-8D85-432A-9172-AA70B5E8C669}"/>
    <tableStyle name="Slicer Style 1" pivot="0" table="0" count="1" xr9:uid="{4E3FE791-0519-4F8B-A6AC-1B38398BFC4B}">
      <tableStyleElement type="wholeTable" dxfId="30"/>
    </tableStyle>
  </tableStyles>
  <colors>
    <mruColors>
      <color rgb="FFF2F2F2"/>
      <color rgb="FF192E59"/>
      <color rgb="FF182540"/>
      <color rgb="FFA60303"/>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أحمد وائل يسرى .xlsx]التحليل!PivotTable6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u="sng">
                <a:solidFill>
                  <a:srgbClr val="F2F2F2"/>
                </a:solidFill>
              </a:rPr>
              <a:t>Best Color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2F2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التحليل!$AC$7</c:f>
              <c:strCache>
                <c:ptCount val="1"/>
                <c:pt idx="0">
                  <c:v>Total</c:v>
                </c:pt>
              </c:strCache>
            </c:strRef>
          </c:tx>
          <c:spPr>
            <a:solidFill>
              <a:srgbClr val="F2F2F2"/>
            </a:solidFill>
            <a:ln>
              <a:noFill/>
            </a:ln>
            <a:effectLst/>
          </c:spPr>
          <c:invertIfNegative val="0"/>
          <c:cat>
            <c:strRef>
              <c:f>التحليل!$AB$8:$AB$16</c:f>
              <c:strCache>
                <c:ptCount val="8"/>
                <c:pt idx="0">
                  <c:v>أسود</c:v>
                </c:pt>
                <c:pt idx="1">
                  <c:v>ابيض</c:v>
                </c:pt>
                <c:pt idx="2">
                  <c:v>رمادى</c:v>
                </c:pt>
                <c:pt idx="3">
                  <c:v>ازرق</c:v>
                </c:pt>
                <c:pt idx="4">
                  <c:v>دهبي</c:v>
                </c:pt>
                <c:pt idx="5">
                  <c:v>بنفسجى</c:v>
                </c:pt>
                <c:pt idx="6">
                  <c:v>بينك</c:v>
                </c:pt>
                <c:pt idx="7">
                  <c:v>نبيتى </c:v>
                </c:pt>
              </c:strCache>
            </c:strRef>
          </c:cat>
          <c:val>
            <c:numRef>
              <c:f>التحليل!$AC$8:$AC$16</c:f>
              <c:numCache>
                <c:formatCode>General</c:formatCode>
                <c:ptCount val="8"/>
                <c:pt idx="0">
                  <c:v>38</c:v>
                </c:pt>
                <c:pt idx="1">
                  <c:v>28</c:v>
                </c:pt>
                <c:pt idx="2">
                  <c:v>7</c:v>
                </c:pt>
                <c:pt idx="3">
                  <c:v>3</c:v>
                </c:pt>
                <c:pt idx="4">
                  <c:v>2</c:v>
                </c:pt>
                <c:pt idx="5">
                  <c:v>2</c:v>
                </c:pt>
                <c:pt idx="6">
                  <c:v>2</c:v>
                </c:pt>
                <c:pt idx="7">
                  <c:v>1</c:v>
                </c:pt>
              </c:numCache>
            </c:numRef>
          </c:val>
          <c:extLst>
            <c:ext xmlns:c16="http://schemas.microsoft.com/office/drawing/2014/chart" uri="{C3380CC4-5D6E-409C-BE32-E72D297353CC}">
              <c16:uniqueId val="{00000000-AC4A-4C58-815E-E9136ECDC228}"/>
            </c:ext>
          </c:extLst>
        </c:ser>
        <c:dLbls>
          <c:showLegendKey val="0"/>
          <c:showVal val="0"/>
          <c:showCatName val="0"/>
          <c:showSerName val="0"/>
          <c:showPercent val="0"/>
          <c:showBubbleSize val="0"/>
        </c:dLbls>
        <c:gapWidth val="150"/>
        <c:axId val="1799980304"/>
        <c:axId val="1799918864"/>
      </c:barChart>
      <c:catAx>
        <c:axId val="17999803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2F2F2"/>
                </a:solidFill>
                <a:latin typeface="+mn-lt"/>
                <a:ea typeface="+mn-ea"/>
                <a:cs typeface="+mn-cs"/>
              </a:defRPr>
            </a:pPr>
            <a:endParaRPr lang="en-US"/>
          </a:p>
        </c:txPr>
        <c:crossAx val="1799918864"/>
        <c:crosses val="autoZero"/>
        <c:auto val="1"/>
        <c:lblAlgn val="ctr"/>
        <c:lblOffset val="100"/>
        <c:noMultiLvlLbl val="0"/>
      </c:catAx>
      <c:valAx>
        <c:axId val="17999188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2F2F2"/>
                </a:solidFill>
                <a:latin typeface="+mn-lt"/>
                <a:ea typeface="+mn-ea"/>
                <a:cs typeface="+mn-cs"/>
              </a:defRPr>
            </a:pPr>
            <a:endParaRPr lang="en-US"/>
          </a:p>
        </c:txPr>
        <c:crossAx val="179998030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أحمد وائل يسرى .xlsx]التحليل!PivotTable5</c:name>
    <c:fmtId val="6"/>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600" b="1" u="sng">
                <a:solidFill>
                  <a:srgbClr val="F2F2F2"/>
                </a:solidFill>
              </a:rPr>
              <a:t>Best Seller</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2F2F2"/>
          </a:solidFill>
          <a:ln>
            <a:noFill/>
          </a:ln>
          <a:effectLst/>
        </c:spPr>
      </c:pivotFmt>
      <c:pivotFmt>
        <c:idx val="4"/>
        <c:spPr>
          <a:solidFill>
            <a:srgbClr val="F2F2F2"/>
          </a:solidFill>
          <a:ln>
            <a:noFill/>
          </a:ln>
          <a:effectLst/>
        </c:spPr>
      </c:pivotFmt>
      <c:pivotFmt>
        <c:idx val="5"/>
        <c:spPr>
          <a:solidFill>
            <a:srgbClr val="F2F2F2"/>
          </a:solidFill>
          <a:ln>
            <a:noFill/>
          </a:ln>
          <a:effectLst/>
        </c:spPr>
      </c:pivotFmt>
    </c:pivotFmts>
    <c:plotArea>
      <c:layout/>
      <c:barChart>
        <c:barDir val="col"/>
        <c:grouping val="clustered"/>
        <c:varyColors val="0"/>
        <c:ser>
          <c:idx val="0"/>
          <c:order val="0"/>
          <c:tx>
            <c:strRef>
              <c:f>التحليل!$X$9</c:f>
              <c:strCache>
                <c:ptCount val="1"/>
                <c:pt idx="0">
                  <c:v>Total</c:v>
                </c:pt>
              </c:strCache>
            </c:strRef>
          </c:tx>
          <c:spPr>
            <a:solidFill>
              <a:schemeClr val="accent1"/>
            </a:solidFill>
            <a:ln>
              <a:noFill/>
            </a:ln>
            <a:effectLst/>
          </c:spPr>
          <c:invertIfNegative val="0"/>
          <c:dPt>
            <c:idx val="0"/>
            <c:invertIfNegative val="0"/>
            <c:bubble3D val="0"/>
            <c:spPr>
              <a:solidFill>
                <a:srgbClr val="F2F2F2"/>
              </a:solidFill>
              <a:ln>
                <a:noFill/>
              </a:ln>
              <a:effectLst/>
            </c:spPr>
            <c:extLst>
              <c:ext xmlns:c16="http://schemas.microsoft.com/office/drawing/2014/chart" uri="{C3380CC4-5D6E-409C-BE32-E72D297353CC}">
                <c16:uniqueId val="{00000001-2030-44DB-98CA-02662388FBF6}"/>
              </c:ext>
            </c:extLst>
          </c:dPt>
          <c:dPt>
            <c:idx val="1"/>
            <c:invertIfNegative val="0"/>
            <c:bubble3D val="0"/>
            <c:spPr>
              <a:solidFill>
                <a:srgbClr val="F2F2F2"/>
              </a:solidFill>
              <a:ln>
                <a:noFill/>
              </a:ln>
              <a:effectLst/>
            </c:spPr>
            <c:extLst>
              <c:ext xmlns:c16="http://schemas.microsoft.com/office/drawing/2014/chart" uri="{C3380CC4-5D6E-409C-BE32-E72D297353CC}">
                <c16:uniqueId val="{00000003-2030-44DB-98CA-02662388FBF6}"/>
              </c:ext>
            </c:extLst>
          </c:dPt>
          <c:dPt>
            <c:idx val="2"/>
            <c:invertIfNegative val="0"/>
            <c:bubble3D val="0"/>
            <c:spPr>
              <a:solidFill>
                <a:srgbClr val="F2F2F2"/>
              </a:solidFill>
              <a:ln>
                <a:noFill/>
              </a:ln>
              <a:effectLst/>
            </c:spPr>
            <c:extLst>
              <c:ext xmlns:c16="http://schemas.microsoft.com/office/drawing/2014/chart" uri="{C3380CC4-5D6E-409C-BE32-E72D297353CC}">
                <c16:uniqueId val="{00000002-2030-44DB-98CA-02662388FBF6}"/>
              </c:ext>
            </c:extLst>
          </c:dPt>
          <c:cat>
            <c:strRef>
              <c:f>التحليل!$W$10:$W$16</c:f>
              <c:strCache>
                <c:ptCount val="6"/>
                <c:pt idx="0">
                  <c:v>سرير</c:v>
                </c:pt>
                <c:pt idx="1">
                  <c:v>ترابيزه</c:v>
                </c:pt>
                <c:pt idx="2">
                  <c:v>كنبة</c:v>
                </c:pt>
                <c:pt idx="3">
                  <c:v>كرسى</c:v>
                </c:pt>
                <c:pt idx="4">
                  <c:v>ركنة</c:v>
                </c:pt>
                <c:pt idx="5">
                  <c:v>شيزلونج</c:v>
                </c:pt>
              </c:strCache>
            </c:strRef>
          </c:cat>
          <c:val>
            <c:numRef>
              <c:f>التحليل!$X$10:$X$16</c:f>
              <c:numCache>
                <c:formatCode>General</c:formatCode>
                <c:ptCount val="6"/>
                <c:pt idx="0">
                  <c:v>70</c:v>
                </c:pt>
                <c:pt idx="1">
                  <c:v>17</c:v>
                </c:pt>
                <c:pt idx="2">
                  <c:v>14</c:v>
                </c:pt>
                <c:pt idx="3">
                  <c:v>1</c:v>
                </c:pt>
                <c:pt idx="4">
                  <c:v>1</c:v>
                </c:pt>
                <c:pt idx="5">
                  <c:v>1</c:v>
                </c:pt>
              </c:numCache>
            </c:numRef>
          </c:val>
          <c:extLst>
            <c:ext xmlns:c16="http://schemas.microsoft.com/office/drawing/2014/chart" uri="{C3380CC4-5D6E-409C-BE32-E72D297353CC}">
              <c16:uniqueId val="{00000000-2030-44DB-98CA-02662388FBF6}"/>
            </c:ext>
          </c:extLst>
        </c:ser>
        <c:dLbls>
          <c:showLegendKey val="0"/>
          <c:showVal val="0"/>
          <c:showCatName val="0"/>
          <c:showSerName val="0"/>
          <c:showPercent val="0"/>
          <c:showBubbleSize val="0"/>
        </c:dLbls>
        <c:gapWidth val="150"/>
        <c:axId val="1799927024"/>
        <c:axId val="1799927984"/>
      </c:barChart>
      <c:catAx>
        <c:axId val="1799927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rgbClr val="F2F2F2"/>
                </a:solidFill>
                <a:latin typeface="+mn-lt"/>
                <a:ea typeface="+mn-ea"/>
                <a:cs typeface="+mn-cs"/>
              </a:defRPr>
            </a:pPr>
            <a:endParaRPr lang="en-US"/>
          </a:p>
        </c:txPr>
        <c:crossAx val="1799927984"/>
        <c:crosses val="autoZero"/>
        <c:auto val="1"/>
        <c:lblAlgn val="ctr"/>
        <c:lblOffset val="100"/>
        <c:noMultiLvlLbl val="0"/>
      </c:catAx>
      <c:valAx>
        <c:axId val="17999279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rgbClr val="F2F2F2"/>
                </a:solidFill>
                <a:latin typeface="+mn-lt"/>
                <a:ea typeface="+mn-ea"/>
                <a:cs typeface="+mn-cs"/>
              </a:defRPr>
            </a:pPr>
            <a:endParaRPr lang="en-US"/>
          </a:p>
        </c:txPr>
        <c:crossAx val="1799927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أحمد وائل يسرى .xlsx]التحليل!PivotTable8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rgbClr val="F2F2F2"/>
                </a:solidFill>
              </a:rPr>
              <a:t>Delivary</a:t>
            </a:r>
            <a:r>
              <a:rPr lang="en-US" b="1" u="sng" baseline="0">
                <a:solidFill>
                  <a:srgbClr val="F2F2F2"/>
                </a:solidFill>
              </a:rPr>
              <a:t> Status</a:t>
            </a:r>
            <a:endParaRPr lang="en-US" b="1" u="sng">
              <a:solidFill>
                <a:srgbClr val="F2F2F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F2F2F2"/>
          </a:solidFill>
          <a:ln w="19050">
            <a:noFill/>
          </a:ln>
          <a:effectLst/>
        </c:spPr>
        <c:dLbl>
          <c:idx val="0"/>
          <c:layout>
            <c:manualLayout>
              <c:x val="0.18294307877356111"/>
              <c:y val="-0.12145181136397928"/>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715931AA-97C7-41CB-9BA5-2CAF4BF49A5B}" type="CATEGORYNAME">
                  <a:rPr lang="ar-EG" sz="1050">
                    <a:solidFill>
                      <a:srgbClr val="F2F2F2"/>
                    </a:solidFill>
                  </a:rPr>
                  <a:pPr>
                    <a:defRPr/>
                  </a:pPr>
                  <a:t>[CATEGORY NAME]</a:t>
                </a:fld>
                <a:r>
                  <a:rPr lang="ar-EG" sz="1050" baseline="0">
                    <a:solidFill>
                      <a:srgbClr val="F2F2F2"/>
                    </a:solidFill>
                  </a:rPr>
                  <a:t>
</a:t>
                </a:r>
                <a:fld id="{D9D2FAFB-25F9-429A-9273-93691C5AF586}" type="PERCENTAGE">
                  <a:rPr lang="ar-EG" sz="1050" baseline="0">
                    <a:solidFill>
                      <a:srgbClr val="F2F2F2"/>
                    </a:solidFill>
                  </a:rPr>
                  <a:pPr>
                    <a:defRPr/>
                  </a:pPr>
                  <a:t>[PERCENTAGE]</a:t>
                </a:fld>
                <a:endParaRPr lang="ar-EG" sz="1050" baseline="0">
                  <a:solidFill>
                    <a:srgbClr val="F2F2F2"/>
                  </a:solidFill>
                </a:endParaRPr>
              </a:p>
            </c:rich>
          </c:tx>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7"/>
        <c:spPr>
          <a:solidFill>
            <a:srgbClr val="A60303"/>
          </a:solidFill>
          <a:ln w="19050">
            <a:noFill/>
          </a:ln>
          <a:effectLst/>
        </c:spPr>
        <c:dLbl>
          <c:idx val="0"/>
          <c:layout>
            <c:manualLayout>
              <c:x val="-8.6897962417441549E-2"/>
              <c:y val="-2.0241968560663338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FBBD7A3F-73C2-4080-80D2-083C55A952E1}" type="CATEGORYNAME">
                  <a:rPr lang="ar-EG">
                    <a:solidFill>
                      <a:srgbClr val="F2F2F2"/>
                    </a:solidFill>
                  </a:rPr>
                  <a:pPr>
                    <a:defRPr/>
                  </a:pPr>
                  <a:t>[CATEGORY NAME]</a:t>
                </a:fld>
                <a:r>
                  <a:rPr lang="ar-EG" baseline="0">
                    <a:solidFill>
                      <a:srgbClr val="F2F2F2"/>
                    </a:solidFill>
                  </a:rPr>
                  <a:t>
</a:t>
                </a:r>
                <a:fld id="{BA1D55F1-DFC7-45F2-AFFC-D397CD1FA4A9}" type="PERCENTAGE">
                  <a:rPr lang="ar-EG" baseline="0">
                    <a:solidFill>
                      <a:srgbClr val="F2F2F2"/>
                    </a:solidFill>
                  </a:rPr>
                  <a:pPr>
                    <a:defRPr/>
                  </a:pPr>
                  <a:t>[PERCENTAGE]</a:t>
                </a:fld>
                <a:endParaRPr lang="ar-EG" baseline="0">
                  <a:solidFill>
                    <a:srgbClr val="F2F2F2"/>
                  </a:solidFill>
                </a:endParaRPr>
              </a:p>
            </c:rich>
          </c:tx>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solidFill>
            <a:srgbClr val="192E59"/>
          </a:solidFill>
          <a:ln w="19050">
            <a:noFill/>
          </a:ln>
          <a:effectLst/>
        </c:spPr>
        <c:dLbl>
          <c:idx val="0"/>
          <c:layout>
            <c:manualLayout>
              <c:x val="-4.5735769693390285E-3"/>
              <c:y val="-9.4462519949761639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13F76E39-14BF-4F64-BE54-77B42AD669E5}" type="CATEGORYNAME">
                  <a:rPr lang="ar-EG" sz="1050">
                    <a:solidFill>
                      <a:srgbClr val="F2F2F2"/>
                    </a:solidFill>
                  </a:rPr>
                  <a:pPr>
                    <a:defRPr/>
                  </a:pPr>
                  <a:t>[CATEGORY NAME]</a:t>
                </a:fld>
                <a:r>
                  <a:rPr lang="ar-EG" sz="1050" baseline="0">
                    <a:solidFill>
                      <a:srgbClr val="F2F2F2"/>
                    </a:solidFill>
                  </a:rPr>
                  <a:t>
</a:t>
                </a:r>
                <a:fld id="{A4AB2060-95AD-46CA-8162-46F002040480}" type="PERCENTAGE">
                  <a:rPr lang="ar-EG" sz="1050" baseline="0">
                    <a:solidFill>
                      <a:srgbClr val="F2F2F2"/>
                    </a:solidFill>
                  </a:rPr>
                  <a:pPr>
                    <a:defRPr/>
                  </a:pPr>
                  <a:t>[PERCENTAGE]</a:t>
                </a:fld>
                <a:endParaRPr lang="ar-EG" sz="1050" baseline="0">
                  <a:solidFill>
                    <a:srgbClr val="F2F2F2"/>
                  </a:solidFill>
                </a:endParaRPr>
              </a:p>
            </c:rich>
          </c:tx>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manualLayout>
          <c:layoutTarget val="inner"/>
          <c:xMode val="edge"/>
          <c:yMode val="edge"/>
          <c:x val="0.33471358690477687"/>
          <c:y val="0.44347745787881682"/>
          <c:w val="0.33057246690535175"/>
          <c:h val="0.54053241106556826"/>
        </c:manualLayout>
      </c:layout>
      <c:pieChart>
        <c:varyColors val="1"/>
        <c:ser>
          <c:idx val="0"/>
          <c:order val="0"/>
          <c:tx>
            <c:strRef>
              <c:f>التحليل!$AM$8</c:f>
              <c:strCache>
                <c:ptCount val="1"/>
                <c:pt idx="0">
                  <c:v>Total</c:v>
                </c:pt>
              </c:strCache>
            </c:strRef>
          </c:tx>
          <c:spPr>
            <a:ln>
              <a:noFill/>
            </a:ln>
          </c:spPr>
          <c:dPt>
            <c:idx val="0"/>
            <c:bubble3D val="0"/>
            <c:spPr>
              <a:solidFill>
                <a:srgbClr val="F2F2F2"/>
              </a:solidFill>
              <a:ln w="19050">
                <a:noFill/>
              </a:ln>
              <a:effectLst/>
            </c:spPr>
            <c:extLst>
              <c:ext xmlns:c16="http://schemas.microsoft.com/office/drawing/2014/chart" uri="{C3380CC4-5D6E-409C-BE32-E72D297353CC}">
                <c16:uniqueId val="{00000001-AECC-460B-A1DD-DE250CB4E15F}"/>
              </c:ext>
            </c:extLst>
          </c:dPt>
          <c:dPt>
            <c:idx val="1"/>
            <c:bubble3D val="0"/>
            <c:spPr>
              <a:solidFill>
                <a:srgbClr val="A60303"/>
              </a:solidFill>
              <a:ln w="19050">
                <a:noFill/>
              </a:ln>
              <a:effectLst/>
            </c:spPr>
            <c:extLst>
              <c:ext xmlns:c16="http://schemas.microsoft.com/office/drawing/2014/chart" uri="{C3380CC4-5D6E-409C-BE32-E72D297353CC}">
                <c16:uniqueId val="{00000003-AECC-460B-A1DD-DE250CB4E15F}"/>
              </c:ext>
            </c:extLst>
          </c:dPt>
          <c:dPt>
            <c:idx val="2"/>
            <c:bubble3D val="0"/>
            <c:spPr>
              <a:solidFill>
                <a:srgbClr val="192E59"/>
              </a:solidFill>
              <a:ln w="19050">
                <a:noFill/>
              </a:ln>
              <a:effectLst/>
            </c:spPr>
            <c:extLst>
              <c:ext xmlns:c16="http://schemas.microsoft.com/office/drawing/2014/chart" uri="{C3380CC4-5D6E-409C-BE32-E72D297353CC}">
                <c16:uniqueId val="{00000005-AECC-460B-A1DD-DE250CB4E15F}"/>
              </c:ext>
            </c:extLst>
          </c:dPt>
          <c:dLbls>
            <c:dLbl>
              <c:idx val="0"/>
              <c:layout>
                <c:manualLayout>
                  <c:x val="0.18294307877356111"/>
                  <c:y val="-0.12145181136397928"/>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715931AA-97C7-41CB-9BA5-2CAF4BF49A5B}" type="CATEGORYNAME">
                      <a:rPr lang="ar-EG" sz="1050">
                        <a:solidFill>
                          <a:srgbClr val="F2F2F2"/>
                        </a:solidFill>
                      </a:rPr>
                      <a:pPr>
                        <a:defRPr/>
                      </a:pPr>
                      <a:t>[CATEGORY NAME]</a:t>
                    </a:fld>
                    <a:r>
                      <a:rPr lang="ar-EG" sz="1050" baseline="0">
                        <a:solidFill>
                          <a:srgbClr val="F2F2F2"/>
                        </a:solidFill>
                      </a:rPr>
                      <a:t>
</a:t>
                    </a:r>
                    <a:fld id="{D9D2FAFB-25F9-429A-9273-93691C5AF586}" type="PERCENTAGE">
                      <a:rPr lang="ar-EG" sz="1050" baseline="0">
                        <a:solidFill>
                          <a:srgbClr val="F2F2F2"/>
                        </a:solidFill>
                      </a:rPr>
                      <a:pPr>
                        <a:defRPr/>
                      </a:pPr>
                      <a:t>[PERCENTAGE]</a:t>
                    </a:fld>
                    <a:endParaRPr lang="ar-EG" sz="1050" baseline="0">
                      <a:solidFill>
                        <a:srgbClr val="F2F2F2"/>
                      </a:solidFill>
                    </a:endParaRPr>
                  </a:p>
                </c:rich>
              </c:tx>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1-AECC-460B-A1DD-DE250CB4E15F}"/>
                </c:ext>
              </c:extLst>
            </c:dLbl>
            <c:dLbl>
              <c:idx val="1"/>
              <c:layout>
                <c:manualLayout>
                  <c:x val="-8.6897962417441549E-2"/>
                  <c:y val="-2.0241968560663338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FBBD7A3F-73C2-4080-80D2-083C55A952E1}" type="CATEGORYNAME">
                      <a:rPr lang="ar-EG">
                        <a:solidFill>
                          <a:srgbClr val="F2F2F2"/>
                        </a:solidFill>
                      </a:rPr>
                      <a:pPr>
                        <a:defRPr/>
                      </a:pPr>
                      <a:t>[CATEGORY NAME]</a:t>
                    </a:fld>
                    <a:r>
                      <a:rPr lang="ar-EG" baseline="0">
                        <a:solidFill>
                          <a:srgbClr val="F2F2F2"/>
                        </a:solidFill>
                      </a:rPr>
                      <a:t>
</a:t>
                    </a:r>
                    <a:fld id="{BA1D55F1-DFC7-45F2-AFFC-D397CD1FA4A9}" type="PERCENTAGE">
                      <a:rPr lang="ar-EG" baseline="0">
                        <a:solidFill>
                          <a:srgbClr val="F2F2F2"/>
                        </a:solidFill>
                      </a:rPr>
                      <a:pPr>
                        <a:defRPr/>
                      </a:pPr>
                      <a:t>[PERCENTAGE]</a:t>
                    </a:fld>
                    <a:endParaRPr lang="ar-EG" baseline="0">
                      <a:solidFill>
                        <a:srgbClr val="F2F2F2"/>
                      </a:solidFill>
                    </a:endParaRPr>
                  </a:p>
                </c:rich>
              </c:tx>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3-AECC-460B-A1DD-DE250CB4E15F}"/>
                </c:ext>
              </c:extLst>
            </c:dLbl>
            <c:dLbl>
              <c:idx val="2"/>
              <c:layout>
                <c:manualLayout>
                  <c:x val="-4.5735769693390285E-3"/>
                  <c:y val="-9.4462519949761639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13F76E39-14BF-4F64-BE54-77B42AD669E5}" type="CATEGORYNAME">
                      <a:rPr lang="ar-EG" sz="1050">
                        <a:solidFill>
                          <a:srgbClr val="F2F2F2"/>
                        </a:solidFill>
                      </a:rPr>
                      <a:pPr>
                        <a:defRPr/>
                      </a:pPr>
                      <a:t>[CATEGORY NAME]</a:t>
                    </a:fld>
                    <a:r>
                      <a:rPr lang="ar-EG" sz="1050" baseline="0">
                        <a:solidFill>
                          <a:srgbClr val="F2F2F2"/>
                        </a:solidFill>
                      </a:rPr>
                      <a:t>
</a:t>
                    </a:r>
                    <a:fld id="{A4AB2060-95AD-46CA-8162-46F002040480}" type="PERCENTAGE">
                      <a:rPr lang="ar-EG" sz="1050" baseline="0">
                        <a:solidFill>
                          <a:srgbClr val="F2F2F2"/>
                        </a:solidFill>
                      </a:rPr>
                      <a:pPr>
                        <a:defRPr/>
                      </a:pPr>
                      <a:t>[PERCENTAGE]</a:t>
                    </a:fld>
                    <a:endParaRPr lang="ar-EG" sz="1050" baseline="0">
                      <a:solidFill>
                        <a:srgbClr val="F2F2F2"/>
                      </a:solidFill>
                    </a:endParaRPr>
                  </a:p>
                </c:rich>
              </c:tx>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5-AECC-460B-A1DD-DE250CB4E15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التحليل!$AL$9:$AL$12</c:f>
              <c:strCache>
                <c:ptCount val="3"/>
                <c:pt idx="0">
                  <c:v>تم التسليم</c:v>
                </c:pt>
                <c:pt idx="1">
                  <c:v>مرتجع</c:v>
                </c:pt>
                <c:pt idx="2">
                  <c:v>مرفوض </c:v>
                </c:pt>
              </c:strCache>
            </c:strRef>
          </c:cat>
          <c:val>
            <c:numRef>
              <c:f>التحليل!$AM$9:$AM$12</c:f>
              <c:numCache>
                <c:formatCode>0%</c:formatCode>
                <c:ptCount val="3"/>
                <c:pt idx="0">
                  <c:v>0.79807692307692313</c:v>
                </c:pt>
                <c:pt idx="1">
                  <c:v>9.6153846153846159E-3</c:v>
                </c:pt>
                <c:pt idx="2">
                  <c:v>0.19230769230769232</c:v>
                </c:pt>
              </c:numCache>
            </c:numRef>
          </c:val>
          <c:extLst>
            <c:ext xmlns:c16="http://schemas.microsoft.com/office/drawing/2014/chart" uri="{C3380CC4-5D6E-409C-BE32-E72D297353CC}">
              <c16:uniqueId val="{00000006-AECC-460B-A1DD-DE250CB4E15F}"/>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أحمد وائل يسرى .xlsx]التحليل!PivotTable7</c:name>
    <c:fmtId val="3"/>
  </c:pivotSource>
  <c:chart>
    <c:title>
      <c:tx>
        <c:rich>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r>
              <a:rPr lang="en-US" sz="1400" b="1" u="sng">
                <a:solidFill>
                  <a:srgbClr val="F2F2F2"/>
                </a:solidFill>
              </a:rPr>
              <a:t>on-Time Delivary</a:t>
            </a:r>
          </a:p>
        </c:rich>
      </c:tx>
      <c:layout>
        <c:manualLayout>
          <c:xMode val="edge"/>
          <c:yMode val="edge"/>
          <c:x val="0.26595426886093071"/>
          <c:y val="3.5205957624224363E-2"/>
        </c:manualLayout>
      </c:layout>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F2F2F2"/>
          </a:solidFill>
          <a:ln w="19050">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F2F2F2"/>
          </a:solidFill>
          <a:ln w="19050">
            <a:noFill/>
          </a:ln>
          <a:effectLst/>
        </c:spPr>
        <c:dLbl>
          <c:idx val="0"/>
          <c:layout>
            <c:manualLayout>
              <c:x val="0.24589482443975114"/>
              <c:y val="-6.3428889167588778E-2"/>
            </c:manualLayout>
          </c:layout>
          <c:tx>
            <c:rich>
              <a:bodyPr rot="0" spcFirstLastPara="1" vertOverflow="clip" horzOverflow="clip"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fld id="{D0566048-A649-4E90-924D-C1A17E264E82}" type="CATEGORYNAME">
                  <a:rPr lang="ar-EG" sz="1050">
                    <a:solidFill>
                      <a:srgbClr val="F2F2F2"/>
                    </a:solidFill>
                  </a:rPr>
                  <a:pPr>
                    <a:defRPr/>
                  </a:pPr>
                  <a:t>[CATEGORY NAME]</a:t>
                </a:fld>
                <a:r>
                  <a:rPr lang="ar-EG" sz="1050" baseline="0">
                    <a:solidFill>
                      <a:srgbClr val="F2F2F2"/>
                    </a:solidFill>
                  </a:rPr>
                  <a:t>, </a:t>
                </a:r>
                <a:fld id="{C1E0E017-BB8C-4753-B109-8F69F91FD318}" type="VALUE">
                  <a:rPr lang="ar-EG" sz="1050" baseline="0">
                    <a:solidFill>
                      <a:srgbClr val="F2F2F2"/>
                    </a:solidFill>
                  </a:rPr>
                  <a:pPr>
                    <a:defRPr/>
                  </a:pPr>
                  <a:t>[VALUE]</a:t>
                </a:fld>
                <a:endParaRPr lang="ar-EG" sz="1050" baseline="0">
                  <a:solidFill>
                    <a:srgbClr val="F2F2F2"/>
                  </a:solidFill>
                </a:endParaRPr>
              </a:p>
            </c:rich>
          </c:tx>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9074775640429407"/>
                  <c:h val="0.27914427047898521"/>
                </c:manualLayout>
              </c15:layout>
              <c15:dlblFieldTable/>
              <c15:showDataLabelsRange val="0"/>
            </c:ext>
          </c:extLst>
        </c:dLbl>
      </c:pivotFmt>
      <c:pivotFmt>
        <c:idx val="6"/>
        <c:spPr>
          <a:solidFill>
            <a:srgbClr val="192E59"/>
          </a:solidFill>
          <a:ln w="19050">
            <a:noFill/>
          </a:ln>
          <a:effectLst/>
        </c:spPr>
        <c:dLbl>
          <c:idx val="0"/>
          <c:layout>
            <c:manualLayout>
              <c:x val="-0.23878487215891006"/>
              <c:y val="7.0495966189016976E-2"/>
            </c:manualLayout>
          </c:layout>
          <c:tx>
            <c:rich>
              <a:bodyPr rot="0" spcFirstLastPara="1" vertOverflow="clip" horzOverflow="clip"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fld id="{0346E06B-39EB-40BE-BA49-B10913A114D1}" type="CATEGORYNAME">
                  <a:rPr lang="ar-EG">
                    <a:solidFill>
                      <a:srgbClr val="F2F2F2"/>
                    </a:solidFill>
                  </a:rPr>
                  <a:pPr>
                    <a:defRPr/>
                  </a:pPr>
                  <a:t>[CATEGORY NAME]</a:t>
                </a:fld>
                <a:r>
                  <a:rPr lang="ar-EG" baseline="0">
                    <a:solidFill>
                      <a:srgbClr val="F2F2F2"/>
                    </a:solidFill>
                  </a:rPr>
                  <a:t>, </a:t>
                </a:r>
                <a:fld id="{BAFA59B1-64EC-43D8-B7E7-8A0C87863A2F}" type="VALUE">
                  <a:rPr lang="ar-EG" baseline="0">
                    <a:solidFill>
                      <a:srgbClr val="F2F2F2"/>
                    </a:solidFill>
                  </a:rPr>
                  <a:pPr>
                    <a:defRPr/>
                  </a:pPr>
                  <a:t>[VALUE]</a:t>
                </a:fld>
                <a:endParaRPr lang="ar-EG" baseline="0">
                  <a:solidFill>
                    <a:srgbClr val="F2F2F2"/>
                  </a:solidFill>
                </a:endParaRPr>
              </a:p>
            </c:rich>
          </c:tx>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pieChart>
        <c:varyColors val="1"/>
        <c:ser>
          <c:idx val="0"/>
          <c:order val="0"/>
          <c:tx>
            <c:strRef>
              <c:f>التحليل!$AH$8</c:f>
              <c:strCache>
                <c:ptCount val="1"/>
                <c:pt idx="0">
                  <c:v>Total</c:v>
                </c:pt>
              </c:strCache>
            </c:strRef>
          </c:tx>
          <c:spPr>
            <a:solidFill>
              <a:srgbClr val="F2F2F2"/>
            </a:solidFill>
            <a:ln>
              <a:noFill/>
            </a:ln>
          </c:spPr>
          <c:dPt>
            <c:idx val="0"/>
            <c:bubble3D val="0"/>
            <c:spPr>
              <a:solidFill>
                <a:srgbClr val="F2F2F2"/>
              </a:solidFill>
              <a:ln w="19050">
                <a:noFill/>
              </a:ln>
              <a:effectLst/>
            </c:spPr>
            <c:extLst>
              <c:ext xmlns:c16="http://schemas.microsoft.com/office/drawing/2014/chart" uri="{C3380CC4-5D6E-409C-BE32-E72D297353CC}">
                <c16:uniqueId val="{00000001-19EE-4258-BF01-F626D1F765F2}"/>
              </c:ext>
            </c:extLst>
          </c:dPt>
          <c:dPt>
            <c:idx val="1"/>
            <c:bubble3D val="0"/>
            <c:spPr>
              <a:solidFill>
                <a:srgbClr val="192E59"/>
              </a:solidFill>
              <a:ln w="19050">
                <a:noFill/>
              </a:ln>
              <a:effectLst/>
            </c:spPr>
            <c:extLst>
              <c:ext xmlns:c16="http://schemas.microsoft.com/office/drawing/2014/chart" uri="{C3380CC4-5D6E-409C-BE32-E72D297353CC}">
                <c16:uniqueId val="{00000003-19EE-4258-BF01-F626D1F765F2}"/>
              </c:ext>
            </c:extLst>
          </c:dPt>
          <c:dLbls>
            <c:dLbl>
              <c:idx val="0"/>
              <c:layout>
                <c:manualLayout>
                  <c:x val="0.24589482443975114"/>
                  <c:y val="-6.3428889167588778E-2"/>
                </c:manualLayout>
              </c:layout>
              <c:tx>
                <c:rich>
                  <a:bodyPr rot="0" spcFirstLastPara="1" vertOverflow="clip" horzOverflow="clip"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fld id="{D0566048-A649-4E90-924D-C1A17E264E82}" type="CATEGORYNAME">
                      <a:rPr lang="ar-EG" sz="1050">
                        <a:solidFill>
                          <a:srgbClr val="F2F2F2"/>
                        </a:solidFill>
                      </a:rPr>
                      <a:pPr>
                        <a:defRPr/>
                      </a:pPr>
                      <a:t>[CATEGORY NAME]</a:t>
                    </a:fld>
                    <a:r>
                      <a:rPr lang="ar-EG" sz="1050" baseline="0">
                        <a:solidFill>
                          <a:srgbClr val="F2F2F2"/>
                        </a:solidFill>
                      </a:rPr>
                      <a:t>, </a:t>
                    </a:r>
                    <a:fld id="{C1E0E017-BB8C-4753-B109-8F69F91FD318}" type="VALUE">
                      <a:rPr lang="ar-EG" sz="1050" baseline="0">
                        <a:solidFill>
                          <a:srgbClr val="F2F2F2"/>
                        </a:solidFill>
                      </a:rPr>
                      <a:pPr>
                        <a:defRPr/>
                      </a:pPr>
                      <a:t>[VALUE]</a:t>
                    </a:fld>
                    <a:endParaRPr lang="ar-EG" sz="1050" baseline="0">
                      <a:solidFill>
                        <a:srgbClr val="F2F2F2"/>
                      </a:solidFill>
                    </a:endParaRPr>
                  </a:p>
                </c:rich>
              </c:tx>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9074775640429407"/>
                      <c:h val="0.27914427047898521"/>
                    </c:manualLayout>
                  </c15:layout>
                  <c15:dlblFieldTable/>
                  <c15:showDataLabelsRange val="0"/>
                </c:ext>
                <c:ext xmlns:c16="http://schemas.microsoft.com/office/drawing/2014/chart" uri="{C3380CC4-5D6E-409C-BE32-E72D297353CC}">
                  <c16:uniqueId val="{00000001-19EE-4258-BF01-F626D1F765F2}"/>
                </c:ext>
              </c:extLst>
            </c:dLbl>
            <c:dLbl>
              <c:idx val="1"/>
              <c:layout>
                <c:manualLayout>
                  <c:x val="-0.23878487215891006"/>
                  <c:y val="7.0495966189016976E-2"/>
                </c:manualLayout>
              </c:layout>
              <c:tx>
                <c:rich>
                  <a:bodyPr rot="0" spcFirstLastPara="1" vertOverflow="clip" horzOverflow="clip"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fld id="{0346E06B-39EB-40BE-BA49-B10913A114D1}" type="CATEGORYNAME">
                      <a:rPr lang="ar-EG">
                        <a:solidFill>
                          <a:srgbClr val="F2F2F2"/>
                        </a:solidFill>
                      </a:rPr>
                      <a:pPr>
                        <a:defRPr/>
                      </a:pPr>
                      <a:t>[CATEGORY NAME]</a:t>
                    </a:fld>
                    <a:r>
                      <a:rPr lang="ar-EG" baseline="0">
                        <a:solidFill>
                          <a:srgbClr val="F2F2F2"/>
                        </a:solidFill>
                      </a:rPr>
                      <a:t>, </a:t>
                    </a:r>
                    <a:fld id="{BAFA59B1-64EC-43D8-B7E7-8A0C87863A2F}" type="VALUE">
                      <a:rPr lang="ar-EG" baseline="0">
                        <a:solidFill>
                          <a:srgbClr val="F2F2F2"/>
                        </a:solidFill>
                      </a:rPr>
                      <a:pPr>
                        <a:defRPr/>
                      </a:pPr>
                      <a:t>[VALUE]</a:t>
                    </a:fld>
                    <a:endParaRPr lang="ar-EG" baseline="0">
                      <a:solidFill>
                        <a:srgbClr val="F2F2F2"/>
                      </a:solidFill>
                    </a:endParaRPr>
                  </a:p>
                </c:rich>
              </c:tx>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3-19EE-4258-BF01-F626D1F765F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التحليل!$AG$9:$AG$11</c:f>
              <c:strCache>
                <c:ptCount val="2"/>
                <c:pt idx="0">
                  <c:v>خارج الموعد</c:v>
                </c:pt>
                <c:pt idx="1">
                  <c:v>في الموعد</c:v>
                </c:pt>
              </c:strCache>
            </c:strRef>
          </c:cat>
          <c:val>
            <c:numRef>
              <c:f>التحليل!$AH$9:$AH$11</c:f>
              <c:numCache>
                <c:formatCode>0%</c:formatCode>
                <c:ptCount val="2"/>
                <c:pt idx="0">
                  <c:v>0.95049504950495045</c:v>
                </c:pt>
                <c:pt idx="1">
                  <c:v>4.9504950495049507E-2</c:v>
                </c:pt>
              </c:numCache>
            </c:numRef>
          </c:val>
          <c:extLst>
            <c:ext xmlns:c16="http://schemas.microsoft.com/office/drawing/2014/chart" uri="{C3380CC4-5D6E-409C-BE32-E72D297353CC}">
              <c16:uniqueId val="{00000004-19EE-4258-BF01-F626D1F765F2}"/>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أحمد وائل يسرى .xlsx]التحليل!PivotTable4</c:name>
    <c:fmtId val="3"/>
  </c:pivotSource>
  <c:chart>
    <c:title>
      <c:tx>
        <c:rich>
          <a:bodyPr rot="0" spcFirstLastPara="1" vertOverflow="ellipsis" vert="horz" wrap="square" anchor="ctr" anchorCtr="1"/>
          <a:lstStyle/>
          <a:p>
            <a:pPr>
              <a:defRPr sz="1400" b="0" i="0" u="none" strike="noStrike" kern="1200" spc="0" baseline="0">
                <a:solidFill>
                  <a:srgbClr val="F2F2F2"/>
                </a:solidFill>
                <a:latin typeface="+mn-lt"/>
                <a:ea typeface="+mn-ea"/>
                <a:cs typeface="+mn-cs"/>
              </a:defRPr>
            </a:pPr>
            <a:r>
              <a:rPr lang="en-US" b="1" u="sng"/>
              <a:t>Sales by Platform</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2F2F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2F2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F2F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التحليل!$S$6</c:f>
              <c:strCache>
                <c:ptCount val="1"/>
                <c:pt idx="0">
                  <c:v>Total</c:v>
                </c:pt>
              </c:strCache>
            </c:strRef>
          </c:tx>
          <c:spPr>
            <a:solidFill>
              <a:srgbClr val="F2F2F2"/>
            </a:solidFill>
            <a:ln>
              <a:noFill/>
            </a:ln>
            <a:effectLst/>
          </c:spPr>
          <c:invertIfNegative val="0"/>
          <c:cat>
            <c:strRef>
              <c:f>التحليل!$R$7:$R$15</c:f>
              <c:strCache>
                <c:ptCount val="8"/>
                <c:pt idx="0">
                  <c:v>السويس</c:v>
                </c:pt>
                <c:pt idx="1">
                  <c:v>اوسكار ريتن </c:v>
                </c:pt>
                <c:pt idx="2">
                  <c:v>تاكى</c:v>
                </c:pt>
                <c:pt idx="3">
                  <c:v>شيك هومز</c:v>
                </c:pt>
                <c:pt idx="4">
                  <c:v>فيسبوك</c:v>
                </c:pt>
                <c:pt idx="5">
                  <c:v>كيمت </c:v>
                </c:pt>
                <c:pt idx="6">
                  <c:v>منزلى </c:v>
                </c:pt>
                <c:pt idx="7">
                  <c:v>هومزمارت</c:v>
                </c:pt>
              </c:strCache>
            </c:strRef>
          </c:cat>
          <c:val>
            <c:numRef>
              <c:f>التحليل!$S$7:$S$15</c:f>
              <c:numCache>
                <c:formatCode>General</c:formatCode>
                <c:ptCount val="8"/>
                <c:pt idx="0">
                  <c:v>4</c:v>
                </c:pt>
                <c:pt idx="1">
                  <c:v>10</c:v>
                </c:pt>
                <c:pt idx="2">
                  <c:v>7</c:v>
                </c:pt>
                <c:pt idx="3">
                  <c:v>7</c:v>
                </c:pt>
                <c:pt idx="4">
                  <c:v>3</c:v>
                </c:pt>
                <c:pt idx="5">
                  <c:v>1</c:v>
                </c:pt>
                <c:pt idx="6">
                  <c:v>2</c:v>
                </c:pt>
                <c:pt idx="7">
                  <c:v>70</c:v>
                </c:pt>
              </c:numCache>
            </c:numRef>
          </c:val>
          <c:extLst>
            <c:ext xmlns:c16="http://schemas.microsoft.com/office/drawing/2014/chart" uri="{C3380CC4-5D6E-409C-BE32-E72D297353CC}">
              <c16:uniqueId val="{00000000-9975-4C3A-B90A-125F2D7B1DDA}"/>
            </c:ext>
          </c:extLst>
        </c:ser>
        <c:dLbls>
          <c:showLegendKey val="0"/>
          <c:showVal val="0"/>
          <c:showCatName val="0"/>
          <c:showSerName val="0"/>
          <c:showPercent val="0"/>
          <c:showBubbleSize val="0"/>
        </c:dLbls>
        <c:gapWidth val="182"/>
        <c:axId val="1799981744"/>
        <c:axId val="1799982224"/>
      </c:barChart>
      <c:catAx>
        <c:axId val="1799981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2F2F2"/>
                </a:solidFill>
                <a:latin typeface="+mn-lt"/>
                <a:ea typeface="+mn-ea"/>
                <a:cs typeface="+mn-cs"/>
              </a:defRPr>
            </a:pPr>
            <a:endParaRPr lang="en-US"/>
          </a:p>
        </c:txPr>
        <c:crossAx val="1799982224"/>
        <c:crosses val="autoZero"/>
        <c:auto val="1"/>
        <c:lblAlgn val="ctr"/>
        <c:lblOffset val="100"/>
        <c:noMultiLvlLbl val="0"/>
      </c:catAx>
      <c:valAx>
        <c:axId val="17999822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2F2F2"/>
                </a:solidFill>
                <a:latin typeface="+mn-lt"/>
                <a:ea typeface="+mn-ea"/>
                <a:cs typeface="+mn-cs"/>
              </a:defRPr>
            </a:pPr>
            <a:endParaRPr lang="en-US"/>
          </a:p>
        </c:txPr>
        <c:crossAx val="1799981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F2F2F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أحمد وائل يسرى .xlsx]التحليل!PivotTable9</c:name>
    <c:fmtId val="7"/>
  </c:pivotSource>
  <c:chart>
    <c:title>
      <c:tx>
        <c:rich>
          <a:bodyPr rot="0" spcFirstLastPara="1" vertOverflow="ellipsis" vert="horz" wrap="square" anchor="ctr" anchorCtr="1"/>
          <a:lstStyle/>
          <a:p>
            <a:pPr>
              <a:defRPr sz="1400" b="0" i="0" u="none" strike="noStrike" kern="1200" spc="0" baseline="0">
                <a:solidFill>
                  <a:srgbClr val="F2F2F2"/>
                </a:solidFill>
                <a:latin typeface="+mn-lt"/>
                <a:ea typeface="+mn-ea"/>
                <a:cs typeface="+mn-cs"/>
              </a:defRPr>
            </a:pPr>
            <a:r>
              <a:rPr lang="en-US" b="1" u="sng"/>
              <a:t>Orders by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2F2F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2F2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F2F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التحليل!$AR$10</c:f>
              <c:strCache>
                <c:ptCount val="1"/>
                <c:pt idx="0">
                  <c:v>Total</c:v>
                </c:pt>
              </c:strCache>
            </c:strRef>
          </c:tx>
          <c:spPr>
            <a:solidFill>
              <a:srgbClr val="F2F2F2"/>
            </a:solidFill>
            <a:ln>
              <a:noFill/>
            </a:ln>
            <a:effectLst/>
          </c:spPr>
          <c:invertIfNegative val="0"/>
          <c:cat>
            <c:strRef>
              <c:f>التحليل!$AQ$11:$AQ$20</c:f>
              <c:strCache>
                <c:ptCount val="9"/>
                <c:pt idx="0">
                  <c:v>القاهره</c:v>
                </c:pt>
                <c:pt idx="1">
                  <c:v>الجيزه</c:v>
                </c:pt>
                <c:pt idx="2">
                  <c:v>البحر الاحمر</c:v>
                </c:pt>
                <c:pt idx="3">
                  <c:v>القليوبيه</c:v>
                </c:pt>
                <c:pt idx="4">
                  <c:v>السويس </c:v>
                </c:pt>
                <c:pt idx="5">
                  <c:v>الاسكندريه</c:v>
                </c:pt>
                <c:pt idx="6">
                  <c:v>الساحل الشمالى</c:v>
                </c:pt>
                <c:pt idx="7">
                  <c:v>اسكندريه</c:v>
                </c:pt>
                <c:pt idx="8">
                  <c:v>اسيوط</c:v>
                </c:pt>
              </c:strCache>
            </c:strRef>
          </c:cat>
          <c:val>
            <c:numRef>
              <c:f>التحليل!$AR$11:$AR$20</c:f>
              <c:numCache>
                <c:formatCode>General</c:formatCode>
                <c:ptCount val="9"/>
                <c:pt idx="0">
                  <c:v>54</c:v>
                </c:pt>
                <c:pt idx="1">
                  <c:v>27</c:v>
                </c:pt>
                <c:pt idx="2">
                  <c:v>7</c:v>
                </c:pt>
                <c:pt idx="3">
                  <c:v>4</c:v>
                </c:pt>
                <c:pt idx="4">
                  <c:v>4</c:v>
                </c:pt>
                <c:pt idx="5">
                  <c:v>4</c:v>
                </c:pt>
                <c:pt idx="6">
                  <c:v>2</c:v>
                </c:pt>
                <c:pt idx="7">
                  <c:v>1</c:v>
                </c:pt>
                <c:pt idx="8">
                  <c:v>1</c:v>
                </c:pt>
              </c:numCache>
            </c:numRef>
          </c:val>
          <c:extLst>
            <c:ext xmlns:c16="http://schemas.microsoft.com/office/drawing/2014/chart" uri="{C3380CC4-5D6E-409C-BE32-E72D297353CC}">
              <c16:uniqueId val="{00000000-8108-448B-B31B-6354776FD6BA}"/>
            </c:ext>
          </c:extLst>
        </c:ser>
        <c:dLbls>
          <c:showLegendKey val="0"/>
          <c:showVal val="0"/>
          <c:showCatName val="0"/>
          <c:showSerName val="0"/>
          <c:showPercent val="0"/>
          <c:showBubbleSize val="0"/>
        </c:dLbls>
        <c:gapWidth val="182"/>
        <c:axId val="147262687"/>
        <c:axId val="147246367"/>
      </c:barChart>
      <c:catAx>
        <c:axId val="14726268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F2F2F2"/>
                </a:solidFill>
                <a:latin typeface="+mn-lt"/>
                <a:ea typeface="+mn-ea"/>
                <a:cs typeface="+mn-cs"/>
              </a:defRPr>
            </a:pPr>
            <a:endParaRPr lang="en-US"/>
          </a:p>
        </c:txPr>
        <c:crossAx val="147246367"/>
        <c:crosses val="autoZero"/>
        <c:auto val="1"/>
        <c:lblAlgn val="ctr"/>
        <c:lblOffset val="100"/>
        <c:noMultiLvlLbl val="0"/>
      </c:catAx>
      <c:valAx>
        <c:axId val="1472463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2F2F2"/>
                </a:solidFill>
                <a:latin typeface="+mn-lt"/>
                <a:ea typeface="+mn-ea"/>
                <a:cs typeface="+mn-cs"/>
              </a:defRPr>
            </a:pPr>
            <a:endParaRPr lang="en-US"/>
          </a:p>
        </c:txPr>
        <c:crossAx val="147262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F2F2F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48979</xdr:colOff>
      <xdr:row>0</xdr:row>
      <xdr:rowOff>40105</xdr:rowOff>
    </xdr:from>
    <xdr:to>
      <xdr:col>3</xdr:col>
      <xdr:colOff>519149</xdr:colOff>
      <xdr:row>27</xdr:row>
      <xdr:rowOff>167844</xdr:rowOff>
    </xdr:to>
    <xdr:grpSp>
      <xdr:nvGrpSpPr>
        <xdr:cNvPr id="37" name="Group 36">
          <a:extLst>
            <a:ext uri="{FF2B5EF4-FFF2-40B4-BE49-F238E27FC236}">
              <a16:creationId xmlns:a16="http://schemas.microsoft.com/office/drawing/2014/main" id="{C495C23F-E89D-3D13-FACF-57FFA0F42891}"/>
            </a:ext>
          </a:extLst>
        </xdr:cNvPr>
        <xdr:cNvGrpSpPr/>
      </xdr:nvGrpSpPr>
      <xdr:grpSpPr>
        <a:xfrm>
          <a:off x="48979" y="40105"/>
          <a:ext cx="2303994" cy="5101673"/>
          <a:chOff x="81064" y="72958"/>
          <a:chExt cx="2298970" cy="5108813"/>
        </a:xfrm>
      </xdr:grpSpPr>
      <xdr:sp macro="" textlink="">
        <xdr:nvSpPr>
          <xdr:cNvPr id="2" name="Rectangle: Rounded Corners 1">
            <a:extLst>
              <a:ext uri="{FF2B5EF4-FFF2-40B4-BE49-F238E27FC236}">
                <a16:creationId xmlns:a16="http://schemas.microsoft.com/office/drawing/2014/main" id="{97D1F64F-0746-193D-C8EF-25B85DF81748}"/>
              </a:ext>
            </a:extLst>
          </xdr:cNvPr>
          <xdr:cNvSpPr/>
        </xdr:nvSpPr>
        <xdr:spPr>
          <a:xfrm>
            <a:off x="81064" y="72958"/>
            <a:ext cx="2298970" cy="5108813"/>
          </a:xfrm>
          <a:prstGeom prst="roundRect">
            <a:avLst/>
          </a:prstGeom>
          <a:solidFill>
            <a:srgbClr val="18254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TextBox 2">
            <a:extLst>
              <a:ext uri="{FF2B5EF4-FFF2-40B4-BE49-F238E27FC236}">
                <a16:creationId xmlns:a16="http://schemas.microsoft.com/office/drawing/2014/main" id="{E6C58261-6C32-EAE2-EECB-A87793A561F3}"/>
              </a:ext>
            </a:extLst>
          </xdr:cNvPr>
          <xdr:cNvSpPr txBox="1"/>
        </xdr:nvSpPr>
        <xdr:spPr>
          <a:xfrm>
            <a:off x="218874" y="170234"/>
            <a:ext cx="2007140" cy="377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rgbClr val="F2F2F2"/>
                </a:solidFill>
              </a:rPr>
              <a:t>MISUO</a:t>
            </a:r>
            <a:r>
              <a:rPr lang="en-US" sz="1800" b="1" baseline="0">
                <a:solidFill>
                  <a:srgbClr val="F2F2F2"/>
                </a:solidFill>
              </a:rPr>
              <a:t> Dashboard</a:t>
            </a:r>
            <a:endParaRPr lang="en-US" sz="1800" b="1">
              <a:solidFill>
                <a:srgbClr val="F2F2F2"/>
              </a:solidFill>
            </a:endParaRPr>
          </a:p>
        </xdr:txBody>
      </xdr:sp>
      <xdr:pic>
        <xdr:nvPicPr>
          <xdr:cNvPr id="5" name="Picture 4">
            <a:extLst>
              <a:ext uri="{FF2B5EF4-FFF2-40B4-BE49-F238E27FC236}">
                <a16:creationId xmlns:a16="http://schemas.microsoft.com/office/drawing/2014/main" id="{B2FEF625-CD76-2C95-6CA8-F39C356CEDE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78278" y="770365"/>
            <a:ext cx="1447799" cy="1254459"/>
          </a:xfrm>
          <a:prstGeom prst="round2DiagRect">
            <a:avLst>
              <a:gd name="adj1" fmla="val 16667"/>
              <a:gd name="adj2" fmla="val 0"/>
            </a:avLst>
          </a:prstGeom>
          <a:ln w="88900" cap="sq">
            <a:solidFill>
              <a:srgbClr val="FFFFFF"/>
            </a:solidFill>
            <a:miter lim="800000"/>
          </a:ln>
          <a:effectLst>
            <a:outerShdw blurRad="254000" algn="tl" rotWithShape="0">
              <a:srgbClr val="000000">
                <a:alpha val="43000"/>
              </a:srgbClr>
            </a:outerShdw>
          </a:effectLst>
        </xdr:spPr>
      </xdr:pic>
      <mc:AlternateContent xmlns:mc="http://schemas.openxmlformats.org/markup-compatibility/2006" xmlns:a14="http://schemas.microsoft.com/office/drawing/2010/main">
        <mc:Choice Requires="a14">
          <xdr:graphicFrame macro="">
            <xdr:nvGraphicFramePr>
              <xdr:cNvPr id="6" name="نوع العميل">
                <a:extLst>
                  <a:ext uri="{FF2B5EF4-FFF2-40B4-BE49-F238E27FC236}">
                    <a16:creationId xmlns:a16="http://schemas.microsoft.com/office/drawing/2014/main" id="{59B95E59-0F10-457E-8C68-46AE492C14BD}"/>
                  </a:ext>
                </a:extLst>
              </xdr:cNvPr>
              <xdr:cNvGraphicFramePr/>
            </xdr:nvGraphicFramePr>
            <xdr:xfrm>
              <a:off x="259405" y="2479357"/>
              <a:ext cx="2047672" cy="938635"/>
            </xdr:xfrm>
            <a:graphic>
              <a:graphicData uri="http://schemas.microsoft.com/office/drawing/2010/slicer">
                <sle:slicer xmlns:sle="http://schemas.microsoft.com/office/drawing/2010/slicer" name="نوع العميل"/>
              </a:graphicData>
            </a:graphic>
          </xdr:graphicFrame>
        </mc:Choice>
        <mc:Fallback xmlns="">
          <xdr:sp macro="" textlink="">
            <xdr:nvSpPr>
              <xdr:cNvPr id="0" name=""/>
              <xdr:cNvSpPr>
                <a:spLocks noTextEdit="1"/>
              </xdr:cNvSpPr>
            </xdr:nvSpPr>
            <xdr:spPr>
              <a:xfrm>
                <a:off x="226596" y="2473568"/>
                <a:ext cx="2039361" cy="9491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 name="المحافظه">
                <a:extLst>
                  <a:ext uri="{FF2B5EF4-FFF2-40B4-BE49-F238E27FC236}">
                    <a16:creationId xmlns:a16="http://schemas.microsoft.com/office/drawing/2014/main" id="{178D9DFA-2E02-49C6-9592-4EB307800DEE}"/>
                  </a:ext>
                </a:extLst>
              </xdr:cNvPr>
              <xdr:cNvGraphicFramePr/>
            </xdr:nvGraphicFramePr>
            <xdr:xfrm>
              <a:off x="162127" y="3655519"/>
              <a:ext cx="2177373" cy="1134928"/>
            </xdr:xfrm>
            <a:graphic>
              <a:graphicData uri="http://schemas.microsoft.com/office/drawing/2010/slicer">
                <sle:slicer xmlns:sle="http://schemas.microsoft.com/office/drawing/2010/slicer" name="المحافظه"/>
              </a:graphicData>
            </a:graphic>
          </xdr:graphicFrame>
        </mc:Choice>
        <mc:Fallback xmlns="">
          <xdr:sp macro="" textlink="">
            <xdr:nvSpPr>
              <xdr:cNvPr id="0" name=""/>
              <xdr:cNvSpPr>
                <a:spLocks noTextEdit="1"/>
              </xdr:cNvSpPr>
            </xdr:nvSpPr>
            <xdr:spPr>
              <a:xfrm>
                <a:off x="129713" y="3662958"/>
                <a:ext cx="2168536" cy="11476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4</xdr:col>
      <xdr:colOff>32083</xdr:colOff>
      <xdr:row>0</xdr:row>
      <xdr:rowOff>40105</xdr:rowOff>
    </xdr:from>
    <xdr:to>
      <xdr:col>7</xdr:col>
      <xdr:colOff>80366</xdr:colOff>
      <xdr:row>4</xdr:row>
      <xdr:rowOff>129105</xdr:rowOff>
    </xdr:to>
    <xdr:grpSp>
      <xdr:nvGrpSpPr>
        <xdr:cNvPr id="32" name="Group 31">
          <a:extLst>
            <a:ext uri="{FF2B5EF4-FFF2-40B4-BE49-F238E27FC236}">
              <a16:creationId xmlns:a16="http://schemas.microsoft.com/office/drawing/2014/main" id="{35831C90-46E8-CC23-8F71-0A0EBC4993A8}"/>
            </a:ext>
          </a:extLst>
        </xdr:cNvPr>
        <xdr:cNvGrpSpPr/>
      </xdr:nvGrpSpPr>
      <xdr:grpSpPr>
        <a:xfrm>
          <a:off x="2477182" y="40105"/>
          <a:ext cx="1882107" cy="825879"/>
          <a:chOff x="2526632" y="24063"/>
          <a:chExt cx="1876926" cy="826937"/>
        </a:xfrm>
      </xdr:grpSpPr>
      <xdr:sp macro="" textlink="">
        <xdr:nvSpPr>
          <xdr:cNvPr id="14" name="Rectangle: Rounded Corners 13">
            <a:extLst>
              <a:ext uri="{FF2B5EF4-FFF2-40B4-BE49-F238E27FC236}">
                <a16:creationId xmlns:a16="http://schemas.microsoft.com/office/drawing/2014/main" id="{837C6067-A413-8877-C58B-A57412B4DD6E}"/>
              </a:ext>
            </a:extLst>
          </xdr:cNvPr>
          <xdr:cNvSpPr/>
        </xdr:nvSpPr>
        <xdr:spPr>
          <a:xfrm>
            <a:off x="2526632" y="72958"/>
            <a:ext cx="1876926" cy="778042"/>
          </a:xfrm>
          <a:prstGeom prst="roundRect">
            <a:avLst/>
          </a:prstGeom>
          <a:solidFill>
            <a:srgbClr val="18254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23" name="TextBox 22">
            <a:extLst>
              <a:ext uri="{FF2B5EF4-FFF2-40B4-BE49-F238E27FC236}">
                <a16:creationId xmlns:a16="http://schemas.microsoft.com/office/drawing/2014/main" id="{75272D88-27D7-7806-1B29-85CD3DF7BE0F}"/>
              </a:ext>
            </a:extLst>
          </xdr:cNvPr>
          <xdr:cNvSpPr txBox="1"/>
        </xdr:nvSpPr>
        <xdr:spPr>
          <a:xfrm>
            <a:off x="2879557" y="24063"/>
            <a:ext cx="1235243" cy="3529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u="sng">
                <a:solidFill>
                  <a:srgbClr val="F2F2F2"/>
                </a:solidFill>
              </a:rPr>
              <a:t>Total</a:t>
            </a:r>
            <a:r>
              <a:rPr lang="en-US" sz="1800" b="1" u="sng" baseline="0">
                <a:solidFill>
                  <a:srgbClr val="F2F2F2"/>
                </a:solidFill>
              </a:rPr>
              <a:t> Sales</a:t>
            </a:r>
            <a:endParaRPr lang="en-US" sz="1800" b="1" u="sng">
              <a:solidFill>
                <a:srgbClr val="F2F2F2"/>
              </a:solidFill>
            </a:endParaRPr>
          </a:p>
        </xdr:txBody>
      </xdr:sp>
      <xdr:sp macro="" textlink="التحليل!B9">
        <xdr:nvSpPr>
          <xdr:cNvPr id="27" name="TextBox 26">
            <a:extLst>
              <a:ext uri="{FF2B5EF4-FFF2-40B4-BE49-F238E27FC236}">
                <a16:creationId xmlns:a16="http://schemas.microsoft.com/office/drawing/2014/main" id="{A6F7BB82-C974-7941-3235-ACEF1F5623FC}"/>
              </a:ext>
            </a:extLst>
          </xdr:cNvPr>
          <xdr:cNvSpPr txBox="1"/>
        </xdr:nvSpPr>
        <xdr:spPr>
          <a:xfrm>
            <a:off x="2753506" y="392134"/>
            <a:ext cx="1503105" cy="2709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6C6BFFA-E346-4DF5-AC69-6C02EC8192C6}" type="TxLink">
              <a:rPr lang="en-US" sz="1400" b="0" i="0" u="none" strike="noStrike">
                <a:solidFill>
                  <a:srgbClr val="F2F2F2"/>
                </a:solidFill>
                <a:latin typeface="Calibri"/>
                <a:ea typeface="Calibri"/>
                <a:cs typeface="Calibri"/>
              </a:rPr>
              <a:pPr/>
              <a:t> EGP 1,076,738 </a:t>
            </a:fld>
            <a:endParaRPr lang="en-US" sz="1400">
              <a:solidFill>
                <a:srgbClr val="F2F2F2"/>
              </a:solidFill>
            </a:endParaRPr>
          </a:p>
        </xdr:txBody>
      </xdr:sp>
    </xdr:grpSp>
    <xdr:clientData/>
  </xdr:twoCellAnchor>
  <xdr:twoCellAnchor>
    <xdr:from>
      <xdr:col>7</xdr:col>
      <xdr:colOff>469230</xdr:colOff>
      <xdr:row>0</xdr:row>
      <xdr:rowOff>40105</xdr:rowOff>
    </xdr:from>
    <xdr:to>
      <xdr:col>10</xdr:col>
      <xdr:colOff>517356</xdr:colOff>
      <xdr:row>4</xdr:row>
      <xdr:rowOff>129105</xdr:rowOff>
    </xdr:to>
    <xdr:grpSp>
      <xdr:nvGrpSpPr>
        <xdr:cNvPr id="33" name="Group 32">
          <a:extLst>
            <a:ext uri="{FF2B5EF4-FFF2-40B4-BE49-F238E27FC236}">
              <a16:creationId xmlns:a16="http://schemas.microsoft.com/office/drawing/2014/main" id="{714C23D5-6B12-6735-FE72-0C10FE1BA165}"/>
            </a:ext>
          </a:extLst>
        </xdr:cNvPr>
        <xdr:cNvGrpSpPr/>
      </xdr:nvGrpSpPr>
      <xdr:grpSpPr>
        <a:xfrm>
          <a:off x="4748153" y="40105"/>
          <a:ext cx="1881950" cy="825879"/>
          <a:chOff x="4596063" y="24063"/>
          <a:chExt cx="1876926" cy="826937"/>
        </a:xfrm>
      </xdr:grpSpPr>
      <xdr:sp macro="" textlink="">
        <xdr:nvSpPr>
          <xdr:cNvPr id="15" name="Rectangle: Rounded Corners 14">
            <a:extLst>
              <a:ext uri="{FF2B5EF4-FFF2-40B4-BE49-F238E27FC236}">
                <a16:creationId xmlns:a16="http://schemas.microsoft.com/office/drawing/2014/main" id="{D95C4FB9-7657-45C9-BB8F-8ECA97F1E99C}"/>
              </a:ext>
            </a:extLst>
          </xdr:cNvPr>
          <xdr:cNvSpPr/>
        </xdr:nvSpPr>
        <xdr:spPr>
          <a:xfrm>
            <a:off x="4596063" y="72958"/>
            <a:ext cx="1876926" cy="778042"/>
          </a:xfrm>
          <a:prstGeom prst="roundRect">
            <a:avLst/>
          </a:prstGeom>
          <a:solidFill>
            <a:srgbClr val="18254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25" name="TextBox 24">
            <a:extLst>
              <a:ext uri="{FF2B5EF4-FFF2-40B4-BE49-F238E27FC236}">
                <a16:creationId xmlns:a16="http://schemas.microsoft.com/office/drawing/2014/main" id="{731B3C72-FB73-8C94-B167-A7EA851BE217}"/>
              </a:ext>
            </a:extLst>
          </xdr:cNvPr>
          <xdr:cNvSpPr txBox="1"/>
        </xdr:nvSpPr>
        <xdr:spPr>
          <a:xfrm>
            <a:off x="4900862" y="24063"/>
            <a:ext cx="1411646" cy="3529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u="sng">
                <a:solidFill>
                  <a:srgbClr val="F2F2F2"/>
                </a:solidFill>
              </a:rPr>
              <a:t>Total</a:t>
            </a:r>
            <a:r>
              <a:rPr lang="en-US" sz="1800" b="1" u="sng" baseline="0">
                <a:solidFill>
                  <a:srgbClr val="F2F2F2"/>
                </a:solidFill>
              </a:rPr>
              <a:t> Orders</a:t>
            </a:r>
            <a:endParaRPr lang="en-US" sz="1800" b="1" u="sng">
              <a:solidFill>
                <a:srgbClr val="F2F2F2"/>
              </a:solidFill>
            </a:endParaRPr>
          </a:p>
        </xdr:txBody>
      </xdr:sp>
      <xdr:sp macro="" textlink="التحليل!G9">
        <xdr:nvSpPr>
          <xdr:cNvPr id="28" name="TextBox 27">
            <a:extLst>
              <a:ext uri="{FF2B5EF4-FFF2-40B4-BE49-F238E27FC236}">
                <a16:creationId xmlns:a16="http://schemas.microsoft.com/office/drawing/2014/main" id="{6657F64C-974E-7069-3FB3-68E7CF3A3DAA}"/>
              </a:ext>
            </a:extLst>
          </xdr:cNvPr>
          <xdr:cNvSpPr txBox="1"/>
        </xdr:nvSpPr>
        <xdr:spPr>
          <a:xfrm>
            <a:off x="5396308" y="390757"/>
            <a:ext cx="416082" cy="2727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D3B64E6-98EA-440B-B78A-90E92516968A}" type="TxLink">
              <a:rPr lang="en-US" sz="1400" b="0" i="0" u="none" strike="noStrike">
                <a:solidFill>
                  <a:srgbClr val="F2F2F2"/>
                </a:solidFill>
                <a:latin typeface="Calibri"/>
                <a:ea typeface="Calibri"/>
                <a:cs typeface="Calibri"/>
              </a:rPr>
              <a:pPr/>
              <a:t>51</a:t>
            </a:fld>
            <a:endParaRPr lang="en-US" sz="1400" b="1">
              <a:solidFill>
                <a:srgbClr val="F2F2F2"/>
              </a:solidFill>
            </a:endParaRPr>
          </a:p>
        </xdr:txBody>
      </xdr:sp>
    </xdr:grpSp>
    <xdr:clientData/>
  </xdr:twoCellAnchor>
  <xdr:twoCellAnchor>
    <xdr:from>
      <xdr:col>11</xdr:col>
      <xdr:colOff>264690</xdr:colOff>
      <xdr:row>0</xdr:row>
      <xdr:rowOff>40105</xdr:rowOff>
    </xdr:from>
    <xdr:to>
      <xdr:col>14</xdr:col>
      <xdr:colOff>312972</xdr:colOff>
      <xdr:row>4</xdr:row>
      <xdr:rowOff>129105</xdr:rowOff>
    </xdr:to>
    <xdr:grpSp>
      <xdr:nvGrpSpPr>
        <xdr:cNvPr id="35" name="Group 34">
          <a:extLst>
            <a:ext uri="{FF2B5EF4-FFF2-40B4-BE49-F238E27FC236}">
              <a16:creationId xmlns:a16="http://schemas.microsoft.com/office/drawing/2014/main" id="{00A0C7B7-40F8-F46B-A5AC-5E922DD2E52E}"/>
            </a:ext>
          </a:extLst>
        </xdr:cNvPr>
        <xdr:cNvGrpSpPr/>
      </xdr:nvGrpSpPr>
      <xdr:grpSpPr>
        <a:xfrm>
          <a:off x="6988712" y="40105"/>
          <a:ext cx="1882106" cy="825879"/>
          <a:chOff x="6665494" y="24063"/>
          <a:chExt cx="1876926" cy="826937"/>
        </a:xfrm>
      </xdr:grpSpPr>
      <xdr:sp macro="" textlink="">
        <xdr:nvSpPr>
          <xdr:cNvPr id="16" name="Rectangle: Rounded Corners 15">
            <a:extLst>
              <a:ext uri="{FF2B5EF4-FFF2-40B4-BE49-F238E27FC236}">
                <a16:creationId xmlns:a16="http://schemas.microsoft.com/office/drawing/2014/main" id="{0657961B-A3CA-4970-8554-45FF8E9B1224}"/>
              </a:ext>
            </a:extLst>
          </xdr:cNvPr>
          <xdr:cNvSpPr/>
        </xdr:nvSpPr>
        <xdr:spPr>
          <a:xfrm>
            <a:off x="6665494" y="72958"/>
            <a:ext cx="1876926" cy="778042"/>
          </a:xfrm>
          <a:prstGeom prst="roundRect">
            <a:avLst/>
          </a:prstGeom>
          <a:solidFill>
            <a:srgbClr val="18254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26" name="TextBox 25">
            <a:extLst>
              <a:ext uri="{FF2B5EF4-FFF2-40B4-BE49-F238E27FC236}">
                <a16:creationId xmlns:a16="http://schemas.microsoft.com/office/drawing/2014/main" id="{68F3DD61-223F-4684-5A42-3909A3F86AC9}"/>
              </a:ext>
            </a:extLst>
          </xdr:cNvPr>
          <xdr:cNvSpPr txBox="1"/>
        </xdr:nvSpPr>
        <xdr:spPr>
          <a:xfrm>
            <a:off x="7074566" y="24063"/>
            <a:ext cx="1235243" cy="3529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u="sng">
                <a:solidFill>
                  <a:srgbClr val="F2F2F2"/>
                </a:solidFill>
              </a:rPr>
              <a:t>AVG.Price</a:t>
            </a:r>
          </a:p>
        </xdr:txBody>
      </xdr:sp>
      <xdr:sp macro="" textlink="التحليل!M9">
        <xdr:nvSpPr>
          <xdr:cNvPr id="29" name="TextBox 28">
            <a:extLst>
              <a:ext uri="{FF2B5EF4-FFF2-40B4-BE49-F238E27FC236}">
                <a16:creationId xmlns:a16="http://schemas.microsoft.com/office/drawing/2014/main" id="{9C601D92-D50C-234D-CEC3-00FF330B2F0F}"/>
              </a:ext>
            </a:extLst>
          </xdr:cNvPr>
          <xdr:cNvSpPr txBox="1"/>
        </xdr:nvSpPr>
        <xdr:spPr>
          <a:xfrm>
            <a:off x="7061228" y="350900"/>
            <a:ext cx="1183919" cy="2727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0CDB030-FE30-45F2-BD08-7DF26B2FA78B}" type="TxLink">
              <a:rPr lang="en-US" sz="1400" b="0" i="0" u="none" strike="noStrike">
                <a:solidFill>
                  <a:srgbClr val="F2F2F2"/>
                </a:solidFill>
                <a:latin typeface="Calibri"/>
                <a:ea typeface="Calibri"/>
                <a:cs typeface="Calibri"/>
              </a:rPr>
              <a:pPr/>
              <a:t> EGP 10,353 </a:t>
            </a:fld>
            <a:endParaRPr lang="en-US" sz="1400" b="1">
              <a:solidFill>
                <a:srgbClr val="F2F2F2"/>
              </a:solidFill>
            </a:endParaRPr>
          </a:p>
        </xdr:txBody>
      </xdr:sp>
    </xdr:grpSp>
    <xdr:clientData/>
  </xdr:twoCellAnchor>
  <xdr:twoCellAnchor>
    <xdr:from>
      <xdr:col>3</xdr:col>
      <xdr:colOff>601578</xdr:colOff>
      <xdr:row>5</xdr:row>
      <xdr:rowOff>120315</xdr:rowOff>
    </xdr:from>
    <xdr:to>
      <xdr:col>9</xdr:col>
      <xdr:colOff>176463</xdr:colOff>
      <xdr:row>15</xdr:row>
      <xdr:rowOff>144378</xdr:rowOff>
    </xdr:to>
    <xdr:sp macro="" textlink="">
      <xdr:nvSpPr>
        <xdr:cNvPr id="30" name="Rectangle: Rounded Corners 29">
          <a:extLst>
            <a:ext uri="{FF2B5EF4-FFF2-40B4-BE49-F238E27FC236}">
              <a16:creationId xmlns:a16="http://schemas.microsoft.com/office/drawing/2014/main" id="{D9A6B857-71DB-CA1C-6FE9-7562BC1F3646}"/>
            </a:ext>
          </a:extLst>
        </xdr:cNvPr>
        <xdr:cNvSpPr/>
      </xdr:nvSpPr>
      <xdr:spPr>
        <a:xfrm>
          <a:off x="2430378" y="1042736"/>
          <a:ext cx="3232485" cy="1868905"/>
        </a:xfrm>
        <a:prstGeom prst="roundRect">
          <a:avLst/>
        </a:prstGeom>
        <a:solidFill>
          <a:srgbClr val="18254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304801</xdr:colOff>
      <xdr:row>5</xdr:row>
      <xdr:rowOff>120315</xdr:rowOff>
    </xdr:from>
    <xdr:to>
      <xdr:col>14</xdr:col>
      <xdr:colOff>561475</xdr:colOff>
      <xdr:row>16</xdr:row>
      <xdr:rowOff>0</xdr:rowOff>
    </xdr:to>
    <xdr:sp macro="" textlink="">
      <xdr:nvSpPr>
        <xdr:cNvPr id="31" name="Rectangle: Rounded Corners 30">
          <a:extLst>
            <a:ext uri="{FF2B5EF4-FFF2-40B4-BE49-F238E27FC236}">
              <a16:creationId xmlns:a16="http://schemas.microsoft.com/office/drawing/2014/main" id="{8E85A2B1-6842-0970-7A37-AB88906B83E3}"/>
            </a:ext>
          </a:extLst>
        </xdr:cNvPr>
        <xdr:cNvSpPr/>
      </xdr:nvSpPr>
      <xdr:spPr>
        <a:xfrm>
          <a:off x="5791201" y="1042736"/>
          <a:ext cx="3304674" cy="1909011"/>
        </a:xfrm>
        <a:prstGeom prst="roundRect">
          <a:avLst/>
        </a:prstGeom>
        <a:solidFill>
          <a:srgbClr val="18254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585536</xdr:colOff>
      <xdr:row>16</xdr:row>
      <xdr:rowOff>112294</xdr:rowOff>
    </xdr:from>
    <xdr:to>
      <xdr:col>9</xdr:col>
      <xdr:colOff>160421</xdr:colOff>
      <xdr:row>26</xdr:row>
      <xdr:rowOff>136357</xdr:rowOff>
    </xdr:to>
    <xdr:sp macro="" textlink="">
      <xdr:nvSpPr>
        <xdr:cNvPr id="38" name="Rectangle: Rounded Corners 37">
          <a:extLst>
            <a:ext uri="{FF2B5EF4-FFF2-40B4-BE49-F238E27FC236}">
              <a16:creationId xmlns:a16="http://schemas.microsoft.com/office/drawing/2014/main" id="{9A31349F-66DE-6477-30D6-7B90A0D3A104}"/>
            </a:ext>
          </a:extLst>
        </xdr:cNvPr>
        <xdr:cNvSpPr/>
      </xdr:nvSpPr>
      <xdr:spPr>
        <a:xfrm>
          <a:off x="2414336" y="3064041"/>
          <a:ext cx="3232485" cy="1868905"/>
        </a:xfrm>
        <a:prstGeom prst="roundRect">
          <a:avLst/>
        </a:prstGeom>
        <a:solidFill>
          <a:srgbClr val="18254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320842</xdr:colOff>
      <xdr:row>16</xdr:row>
      <xdr:rowOff>112294</xdr:rowOff>
    </xdr:from>
    <xdr:to>
      <xdr:col>14</xdr:col>
      <xdr:colOff>577516</xdr:colOff>
      <xdr:row>26</xdr:row>
      <xdr:rowOff>176463</xdr:rowOff>
    </xdr:to>
    <xdr:sp macro="" textlink="">
      <xdr:nvSpPr>
        <xdr:cNvPr id="40" name="Rectangle: Rounded Corners 39">
          <a:extLst>
            <a:ext uri="{FF2B5EF4-FFF2-40B4-BE49-F238E27FC236}">
              <a16:creationId xmlns:a16="http://schemas.microsoft.com/office/drawing/2014/main" id="{C0D2A12E-E950-2092-DF8A-D940EA1E34E3}"/>
            </a:ext>
          </a:extLst>
        </xdr:cNvPr>
        <xdr:cNvSpPr/>
      </xdr:nvSpPr>
      <xdr:spPr>
        <a:xfrm>
          <a:off x="5807242" y="3064041"/>
          <a:ext cx="3304674" cy="1909011"/>
        </a:xfrm>
        <a:prstGeom prst="roundRect">
          <a:avLst/>
        </a:prstGeom>
        <a:solidFill>
          <a:srgbClr val="18254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112296</xdr:colOff>
      <xdr:row>0</xdr:row>
      <xdr:rowOff>48127</xdr:rowOff>
    </xdr:from>
    <xdr:to>
      <xdr:col>18</xdr:col>
      <xdr:colOff>288757</xdr:colOff>
      <xdr:row>13</xdr:row>
      <xdr:rowOff>96255</xdr:rowOff>
    </xdr:to>
    <xdr:sp macro="" textlink="">
      <xdr:nvSpPr>
        <xdr:cNvPr id="41" name="Rectangle: Rounded Corners 40">
          <a:extLst>
            <a:ext uri="{FF2B5EF4-FFF2-40B4-BE49-F238E27FC236}">
              <a16:creationId xmlns:a16="http://schemas.microsoft.com/office/drawing/2014/main" id="{3F59E89B-69F9-F8D0-F552-9662B58AE705}"/>
            </a:ext>
          </a:extLst>
        </xdr:cNvPr>
        <xdr:cNvSpPr/>
      </xdr:nvSpPr>
      <xdr:spPr>
        <a:xfrm rot="5400000">
          <a:off x="9035715" y="268708"/>
          <a:ext cx="2446423" cy="2005261"/>
        </a:xfrm>
        <a:prstGeom prst="roundRect">
          <a:avLst/>
        </a:prstGeom>
        <a:solidFill>
          <a:srgbClr val="18254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128338</xdr:colOff>
      <xdr:row>13</xdr:row>
      <xdr:rowOff>168443</xdr:rowOff>
    </xdr:from>
    <xdr:to>
      <xdr:col>18</xdr:col>
      <xdr:colOff>304799</xdr:colOff>
      <xdr:row>27</xdr:row>
      <xdr:rowOff>32087</xdr:rowOff>
    </xdr:to>
    <xdr:sp macro="" textlink="">
      <xdr:nvSpPr>
        <xdr:cNvPr id="43" name="Rectangle: Rounded Corners 42">
          <a:extLst>
            <a:ext uri="{FF2B5EF4-FFF2-40B4-BE49-F238E27FC236}">
              <a16:creationId xmlns:a16="http://schemas.microsoft.com/office/drawing/2014/main" id="{6C6A9F42-6994-CF62-E191-E76D95EE5B6E}"/>
            </a:ext>
          </a:extLst>
        </xdr:cNvPr>
        <xdr:cNvSpPr/>
      </xdr:nvSpPr>
      <xdr:spPr>
        <a:xfrm rot="5400000">
          <a:off x="9051757" y="2787319"/>
          <a:ext cx="2446423" cy="2005261"/>
        </a:xfrm>
        <a:prstGeom prst="roundRect">
          <a:avLst/>
        </a:prstGeom>
        <a:solidFill>
          <a:srgbClr val="18254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8021</xdr:colOff>
      <xdr:row>5</xdr:row>
      <xdr:rowOff>128336</xdr:rowOff>
    </xdr:from>
    <xdr:to>
      <xdr:col>9</xdr:col>
      <xdr:colOff>184484</xdr:colOff>
      <xdr:row>15</xdr:row>
      <xdr:rowOff>96253</xdr:rowOff>
    </xdr:to>
    <xdr:graphicFrame macro="">
      <xdr:nvGraphicFramePr>
        <xdr:cNvPr id="45" name="Chart 44">
          <a:extLst>
            <a:ext uri="{FF2B5EF4-FFF2-40B4-BE49-F238E27FC236}">
              <a16:creationId xmlns:a16="http://schemas.microsoft.com/office/drawing/2014/main" id="{625A93B5-8265-422E-B1B2-B9C805CF59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304800</xdr:colOff>
      <xdr:row>5</xdr:row>
      <xdr:rowOff>80211</xdr:rowOff>
    </xdr:from>
    <xdr:to>
      <xdr:col>15</xdr:col>
      <xdr:colOff>56147</xdr:colOff>
      <xdr:row>16</xdr:row>
      <xdr:rowOff>16042</xdr:rowOff>
    </xdr:to>
    <xdr:graphicFrame macro="">
      <xdr:nvGraphicFramePr>
        <xdr:cNvPr id="46" name="Chart 45">
          <a:extLst>
            <a:ext uri="{FF2B5EF4-FFF2-40B4-BE49-F238E27FC236}">
              <a16:creationId xmlns:a16="http://schemas.microsoft.com/office/drawing/2014/main" id="{EC01E377-0238-4C15-BD60-7F4796402D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168441</xdr:colOff>
      <xdr:row>16</xdr:row>
      <xdr:rowOff>70472</xdr:rowOff>
    </xdr:from>
    <xdr:to>
      <xdr:col>8</xdr:col>
      <xdr:colOff>513346</xdr:colOff>
      <xdr:row>26</xdr:row>
      <xdr:rowOff>88232</xdr:rowOff>
    </xdr:to>
    <xdr:graphicFrame macro="">
      <xdr:nvGraphicFramePr>
        <xdr:cNvPr id="47" name="Chart 46">
          <a:extLst>
            <a:ext uri="{FF2B5EF4-FFF2-40B4-BE49-F238E27FC236}">
              <a16:creationId xmlns:a16="http://schemas.microsoft.com/office/drawing/2014/main" id="{32506263-CA7E-4E17-B0DD-BE5DFA51A1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550220</xdr:colOff>
      <xdr:row>16</xdr:row>
      <xdr:rowOff>120317</xdr:rowOff>
    </xdr:from>
    <xdr:to>
      <xdr:col>14</xdr:col>
      <xdr:colOff>259404</xdr:colOff>
      <xdr:row>26</xdr:row>
      <xdr:rowOff>57867</xdr:rowOff>
    </xdr:to>
    <xdr:graphicFrame macro="">
      <xdr:nvGraphicFramePr>
        <xdr:cNvPr id="48" name="Chart 47">
          <a:extLst>
            <a:ext uri="{FF2B5EF4-FFF2-40B4-BE49-F238E27FC236}">
              <a16:creationId xmlns:a16="http://schemas.microsoft.com/office/drawing/2014/main" id="{B6FC3829-58F6-49CE-80E7-28A3693CD5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93060</xdr:colOff>
      <xdr:row>13</xdr:row>
      <xdr:rowOff>109021</xdr:rowOff>
    </xdr:from>
    <xdr:to>
      <xdr:col>18</xdr:col>
      <xdr:colOff>327743</xdr:colOff>
      <xdr:row>27</xdr:row>
      <xdr:rowOff>49162</xdr:rowOff>
    </xdr:to>
    <xdr:graphicFrame macro="">
      <xdr:nvGraphicFramePr>
        <xdr:cNvPr id="49" name="Chart 48">
          <a:extLst>
            <a:ext uri="{FF2B5EF4-FFF2-40B4-BE49-F238E27FC236}">
              <a16:creationId xmlns:a16="http://schemas.microsoft.com/office/drawing/2014/main" id="{AB85C692-4111-4D63-8F60-933C2DADE3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81602</xdr:colOff>
      <xdr:row>0</xdr:row>
      <xdr:rowOff>0</xdr:rowOff>
    </xdr:from>
    <xdr:to>
      <xdr:col>18</xdr:col>
      <xdr:colOff>315231</xdr:colOff>
      <xdr:row>13</xdr:row>
      <xdr:rowOff>86413</xdr:rowOff>
    </xdr:to>
    <xdr:graphicFrame macro="">
      <xdr:nvGraphicFramePr>
        <xdr:cNvPr id="50" name="Chart 49">
          <a:extLst>
            <a:ext uri="{FF2B5EF4-FFF2-40B4-BE49-F238E27FC236}">
              <a16:creationId xmlns:a16="http://schemas.microsoft.com/office/drawing/2014/main" id="{14EC11CE-C0F5-4944-BFC3-48D66E3235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IO" refreshedDate="46053.944531944442" createdVersion="8" refreshedVersion="8" minRefreshableVersion="3" recordCount="112" xr:uid="{7B9D6CCE-AF28-41B2-9B97-0E9E988DB56A}">
  <cacheSource type="worksheet">
    <worksheetSource name="masio"/>
  </cacheSource>
  <cacheFields count="22">
    <cacheField name="أسم العميل" numFmtId="0">
      <sharedItems/>
    </cacheField>
    <cacheField name="نوع العميل" numFmtId="0">
      <sharedItems count="2">
        <s v="افراد"/>
        <s v="شركات"/>
      </sharedItems>
    </cacheField>
    <cacheField name="المحافظه" numFmtId="0">
      <sharedItems containsBlank="1" count="10">
        <s v="البحر الاحمر"/>
        <s v="الاسكندريه"/>
        <s v="القاهره"/>
        <s v="الجيزه"/>
        <s v="القليوبيه"/>
        <s v="اسيوط"/>
        <m/>
        <s v="اسكندريه"/>
        <s v="السويس "/>
        <s v="الساحل الشمالى"/>
      </sharedItems>
    </cacheField>
    <cacheField name="العنوان" numFmtId="0">
      <sharedItems containsBlank="1"/>
    </cacheField>
    <cacheField name="منصة البيع " numFmtId="0">
      <sharedItems count="12">
        <s v="هومزمارت"/>
        <s v="تاكى"/>
        <s v="شيك هومز"/>
        <s v="منزلى "/>
        <s v="اوسكار ريتن "/>
        <s v="كيمت "/>
        <s v="السويس"/>
        <s v="فيسبوك"/>
        <s v="شيك هومز " u="1"/>
        <s v="منزلى" u="1"/>
        <s v="تاكى " u="1"/>
        <s v="هومزمارت " u="1"/>
      </sharedItems>
    </cacheField>
    <cacheField name="الصنف" numFmtId="0">
      <sharedItems count="12">
        <s v="ترابيزه"/>
        <s v="سرير"/>
        <s v="كنبة"/>
        <s v="ركنة"/>
        <s v="كرسى"/>
        <s v="شيزلونج"/>
        <s v="سرير " u="1"/>
        <s v="تربيزه" u="1"/>
        <s v="كنبه " u="1"/>
        <s v="كنبة " u="1"/>
        <s v="كنبه" u="1"/>
        <s v="ترابيزه " u="1"/>
      </sharedItems>
    </cacheField>
    <cacheField name="نوع الصنف" numFmtId="0">
      <sharedItems containsBlank="1"/>
    </cacheField>
    <cacheField name="اسم الصنف" numFmtId="0">
      <sharedItems containsBlank="1"/>
    </cacheField>
    <cacheField name="المقاس" numFmtId="0">
      <sharedItems containsBlank="1" containsMixedTypes="1" containsNumber="1" containsInteger="1" minValue="80" maxValue="160"/>
    </cacheField>
    <cacheField name="اللون المعدن" numFmtId="0">
      <sharedItems containsBlank="1" count="15">
        <m/>
        <s v="بينك"/>
        <s v="بنفسجى"/>
        <s v="أسود"/>
        <s v="ابيض"/>
        <s v="رمادى"/>
        <s v="نبيتى "/>
        <s v="دهبي"/>
        <s v="ازرق"/>
        <s v="اسود" u="1"/>
        <s v="اسود " u="1"/>
        <s v="الوان" u="1"/>
        <s v="اسود وبنى" u="1"/>
        <s v="ملون" u="1"/>
        <s v="اسزد" u="1"/>
      </sharedItems>
    </cacheField>
    <cacheField name="لون القماش" numFmtId="0">
      <sharedItems containsBlank="1"/>
    </cacheField>
    <cacheField name="المنتج" numFmtId="0">
      <sharedItems containsBlank="1"/>
    </cacheField>
    <cacheField name="سعر البيع " numFmtId="0">
      <sharedItems containsSemiMixedTypes="0" containsString="0" containsNumber="1" minValue="4020" maxValue="22000"/>
    </cacheField>
    <cacheField name="طريقه الدفع" numFmtId="0">
      <sharedItems containsMixedTypes="1" containsNumber="1" containsInteger="1" minValue="0" maxValue="0"/>
    </cacheField>
    <cacheField name="ميعاد الطلب" numFmtId="14">
      <sharedItems containsNonDate="0" containsDate="1" containsString="0" containsBlank="1" minDate="2024-07-27T00:00:00" maxDate="2024-12-15T00:00:00"/>
    </cacheField>
    <cacheField name="ميعاد التسليم" numFmtId="14">
      <sharedItems containsNonDate="0" containsDate="1" containsString="0" containsBlank="1" minDate="2024-08-20T00:00:00" maxDate="2025-01-06T00:00:00"/>
    </cacheField>
    <cacheField name="تاريخ التسليم" numFmtId="14">
      <sharedItems containsNonDate="0" containsDate="1" containsString="0" containsBlank="1" minDate="2024-08-10T00:00:00" maxDate="2024-12-30T00:00:00"/>
    </cacheField>
    <cacheField name="مده التسليم الاساسيه" numFmtId="1">
      <sharedItems containsSemiMixedTypes="0" containsString="0" containsNumber="1" containsInteger="1" minValue="0" maxValue="67"/>
    </cacheField>
    <cacheField name="مده التسليم الفعليه" numFmtId="1">
      <sharedItems containsSemiMixedTypes="0" containsString="0" containsNumber="1" containsInteger="1" minValue="0" maxValue="59"/>
    </cacheField>
    <cacheField name="المسئول عن التسليم" numFmtId="0">
      <sharedItems containsBlank="1"/>
    </cacheField>
    <cacheField name="الحالة" numFmtId="0">
      <sharedItems count="4">
        <s v="تم التسليم"/>
        <s v="مرتجع"/>
        <s v="مرفوض "/>
        <s v="تم التسليم " u="1"/>
      </sharedItems>
    </cacheField>
    <cacheField name="التسليم ف الموعد" numFmtId="0">
      <sharedItems containsBlank="1" containsMixedTypes="1" containsNumber="1" containsInteger="1" minValue="0" maxValue="1" count="5">
        <s v="خارج الموعد"/>
        <s v="في الموعد"/>
        <m/>
        <n v="0" u="1"/>
        <n v="1" u="1"/>
      </sharedItems>
    </cacheField>
  </cacheFields>
  <extLst>
    <ext xmlns:x14="http://schemas.microsoft.com/office/spreadsheetml/2009/9/main" uri="{725AE2AE-9491-48be-B2B4-4EB974FC3084}">
      <x14:pivotCacheDefinition pivotCacheId="8902052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s v="اسامه"/>
    <x v="0"/>
    <x v="0"/>
    <s v="العين السخنه"/>
    <x v="0"/>
    <x v="0"/>
    <s v="2 ميكانزم"/>
    <m/>
    <m/>
    <x v="0"/>
    <m/>
    <m/>
    <n v="7849"/>
    <s v="كاش"/>
    <d v="2024-09-16T00:00:00"/>
    <d v="2024-10-30T00:00:00"/>
    <d v="2024-11-14T00:00:00"/>
    <n v="44"/>
    <n v="59"/>
    <s v="تم التسليم عن طريق شركه شحن "/>
    <x v="0"/>
    <x v="0"/>
  </r>
  <r>
    <s v="reem"/>
    <x v="0"/>
    <x v="1"/>
    <s v="البطاش اسكندريه"/>
    <x v="0"/>
    <x v="1"/>
    <s v="دورين"/>
    <s v="نوفال"/>
    <s v="١٠٠/١٤٠"/>
    <x v="1"/>
    <m/>
    <m/>
    <n v="12899"/>
    <s v="مسبق الدفع"/>
    <d v="2024-10-17T00:00:00"/>
    <d v="2024-12-22T00:00:00"/>
    <d v="2024-12-03T00:00:00"/>
    <n v="66"/>
    <n v="47"/>
    <s v="تم التسليم عن طريق شركه شحن "/>
    <x v="0"/>
    <x v="0"/>
  </r>
  <r>
    <s v="اياد "/>
    <x v="0"/>
    <x v="2"/>
    <s v="المقطم "/>
    <x v="0"/>
    <x v="0"/>
    <s v="بمكتبة"/>
    <m/>
    <m/>
    <x v="0"/>
    <m/>
    <s v="ترابيزه قهوه متحركه "/>
    <n v="7849"/>
    <s v="مسبق الدفع"/>
    <d v="2024-09-14T00:00:00"/>
    <d v="2024-10-29T00:00:00"/>
    <d v="2024-10-30T00:00:00"/>
    <n v="45"/>
    <n v="46"/>
    <s v="تم التسليم محمود على "/>
    <x v="0"/>
    <x v="0"/>
  </r>
  <r>
    <s v="بسام الشربينى "/>
    <x v="0"/>
    <x v="3"/>
    <s v="٦ اكتوبر الجيزه "/>
    <x v="0"/>
    <x v="1"/>
    <s v="دورين"/>
    <s v="كينج"/>
    <n v="120"/>
    <x v="2"/>
    <m/>
    <s v="سرير كينج ١٢٠ بنفسجى "/>
    <n v="13849"/>
    <s v="مسبق الدفع"/>
    <d v="2024-09-13T00:00:00"/>
    <d v="2024-09-30T00:00:00"/>
    <d v="2024-10-20T00:00:00"/>
    <n v="17"/>
    <n v="37"/>
    <s v="تم التسليم محمود على "/>
    <x v="0"/>
    <x v="0"/>
  </r>
  <r>
    <s v="ديفد بهجت "/>
    <x v="0"/>
    <x v="3"/>
    <s v="فيصل الجيزه"/>
    <x v="0"/>
    <x v="0"/>
    <s v="2 ميكانزم"/>
    <m/>
    <m/>
    <x v="0"/>
    <m/>
    <s v="تربيزه قهوه ٢ رافع"/>
    <n v="8349"/>
    <s v="مسبق الدفع"/>
    <d v="2024-09-14T00:00:00"/>
    <d v="2024-10-16T00:00:00"/>
    <d v="2024-10-21T00:00:00"/>
    <n v="32"/>
    <n v="37"/>
    <s v="تم التسليم محمود على "/>
    <x v="0"/>
    <x v="0"/>
  </r>
  <r>
    <s v="كينج سونا "/>
    <x v="0"/>
    <x v="2"/>
    <s v="الشروق"/>
    <x v="0"/>
    <x v="0"/>
    <s v="رف سحاب"/>
    <m/>
    <m/>
    <x v="0"/>
    <m/>
    <s v="تربيزه قهوه مرتفعه برف سحاب "/>
    <n v="8349"/>
    <s v="مسبق الدفع"/>
    <d v="2024-09-14T00:00:00"/>
    <d v="2024-10-29T00:00:00"/>
    <d v="2024-10-19T00:00:00"/>
    <n v="45"/>
    <n v="35"/>
    <s v="تم التسليم محمود على "/>
    <x v="0"/>
    <x v="0"/>
  </r>
  <r>
    <s v="احمد ايمن "/>
    <x v="0"/>
    <x v="4"/>
    <s v="العبور"/>
    <x v="0"/>
    <x v="0"/>
    <s v="2 ميكانزم"/>
    <m/>
    <m/>
    <x v="0"/>
    <m/>
    <s v="ترابيزه قهوه علويه جديده "/>
    <n v="10319"/>
    <s v="مسبق الدفع"/>
    <d v="2024-09-14T00:00:00"/>
    <d v="2024-10-29T00:00:00"/>
    <d v="2024-10-19T00:00:00"/>
    <n v="45"/>
    <n v="35"/>
    <s v="تم التسليم محمود على "/>
    <x v="0"/>
    <x v="0"/>
  </r>
  <r>
    <s v="Mohamed Ayman"/>
    <x v="0"/>
    <x v="2"/>
    <s v="Madinet Badr"/>
    <x v="0"/>
    <x v="2"/>
    <s v="4*1"/>
    <m/>
    <m/>
    <x v="3"/>
    <s v="رمادى"/>
    <m/>
    <n v="21999"/>
    <s v="مسبق الدفع"/>
    <d v="2024-09-15T00:00:00"/>
    <d v="2024-11-20T00:00:00"/>
    <d v="2024-10-19T00:00:00"/>
    <n v="66"/>
    <n v="34"/>
    <s v="تم التسليم محمود على "/>
    <x v="0"/>
    <x v="0"/>
  </r>
  <r>
    <s v="ساره وجيه "/>
    <x v="0"/>
    <x v="0"/>
    <s v="الغردقه "/>
    <x v="0"/>
    <x v="1"/>
    <s v="دورين"/>
    <s v="كيفنج"/>
    <n v="80"/>
    <x v="4"/>
    <m/>
    <s v="سرير كيفنج دورين مقاس ٨٠ ابيض "/>
    <n v="10999"/>
    <s v="مسبق الدفع"/>
    <d v="2024-09-13T00:00:00"/>
    <d v="2024-09-30T00:00:00"/>
    <d v="2024-10-16T00:00:00"/>
    <n v="17"/>
    <n v="33"/>
    <s v="تم التسليم عن طريق شركه شحن "/>
    <x v="0"/>
    <x v="0"/>
  </r>
  <r>
    <s v="مصطفي غنيم "/>
    <x v="0"/>
    <x v="5"/>
    <s v="اسيوط "/>
    <x v="0"/>
    <x v="1"/>
    <s v="دورين"/>
    <s v="كيفنج"/>
    <n v="120"/>
    <x v="5"/>
    <m/>
    <s v="سرير كيفنج دورين مقاس ١٢٠ رمادى "/>
    <n v="12999"/>
    <s v="مسبق الدفع"/>
    <d v="2024-09-14T00:00:00"/>
    <d v="2024-11-20T00:00:00"/>
    <d v="2024-10-17T00:00:00"/>
    <n v="67"/>
    <n v="33"/>
    <s v="تم التسليم عن طريق شركه شحن "/>
    <x v="0"/>
    <x v="0"/>
  </r>
  <r>
    <s v="اسراء ابراهيم "/>
    <x v="0"/>
    <x v="3"/>
    <s v="٦ اكتوبر الجيزه "/>
    <x v="0"/>
    <x v="1"/>
    <s v="دورين"/>
    <s v="كيفنج"/>
    <n v="80"/>
    <x v="4"/>
    <m/>
    <s v="سرير كيفنج دورين مقاس ٨٠ ابيض "/>
    <n v="10999"/>
    <s v="مسبق الدفع"/>
    <d v="2024-09-13T00:00:00"/>
    <d v="2024-09-30T00:00:00"/>
    <d v="2024-10-15T00:00:00"/>
    <n v="17"/>
    <n v="32"/>
    <s v="تم التسليم محمود على "/>
    <x v="0"/>
    <x v="0"/>
  </r>
  <r>
    <s v="فؤاد المنسي "/>
    <x v="0"/>
    <x v="2"/>
    <s v="المقطم "/>
    <x v="0"/>
    <x v="1"/>
    <s v="دورين"/>
    <s v="نوفال"/>
    <n v="80"/>
    <x v="4"/>
    <m/>
    <s v="سرير نوفال مقاس ٨٠ ابيض "/>
    <n v="10999"/>
    <s v="مسبق الدفع"/>
    <d v="2024-09-14T00:00:00"/>
    <d v="2024-11-20T00:00:00"/>
    <d v="2024-10-16T00:00:00"/>
    <n v="67"/>
    <n v="32"/>
    <s v="تم التسليم محمود على "/>
    <x v="0"/>
    <x v="0"/>
  </r>
  <r>
    <s v="ميار خورشد"/>
    <x v="0"/>
    <x v="3"/>
    <s v="٦ اكتوبر الجيزه "/>
    <x v="0"/>
    <x v="1"/>
    <s v="منطبق"/>
    <m/>
    <m/>
    <x v="3"/>
    <s v="اسود"/>
    <s v="سرير منطبق اسود حديد ومعدن "/>
    <n v="9399"/>
    <s v="مسبق الدفع"/>
    <d v="2024-09-14T00:00:00"/>
    <d v="2024-10-29T00:00:00"/>
    <d v="2024-10-15T00:00:00"/>
    <n v="45"/>
    <n v="31"/>
    <s v="تم التسليم محمود على "/>
    <x v="0"/>
    <x v="0"/>
  </r>
  <r>
    <s v="عبد الله سيد "/>
    <x v="0"/>
    <x v="3"/>
    <s v="الشيخ زايد ٦ اكتوبر "/>
    <x v="0"/>
    <x v="1"/>
    <s v="فردى"/>
    <s v="اسبانى"/>
    <n v="140"/>
    <x v="3"/>
    <m/>
    <s v="سرير اسبانى  ١٤٠ اسود وبيج "/>
    <n v="11817"/>
    <s v="مسبق الدفع"/>
    <d v="2024-09-14T00:00:00"/>
    <d v="2024-10-29T00:00:00"/>
    <d v="2024-10-15T00:00:00"/>
    <n v="45"/>
    <n v="31"/>
    <s v="تم التسليم محمود على "/>
    <x v="0"/>
    <x v="0"/>
  </r>
  <r>
    <s v="mohannad"/>
    <x v="0"/>
    <x v="2"/>
    <s v="EL-Maadi"/>
    <x v="0"/>
    <x v="1"/>
    <s v="دورين"/>
    <s v="كيفنج"/>
    <n v="80"/>
    <x v="4"/>
    <m/>
    <m/>
    <n v="10999"/>
    <s v="مسبق الدفع"/>
    <d v="2024-09-15T00:00:00"/>
    <d v="2024-11-20T00:00:00"/>
    <d v="2024-10-16T00:00:00"/>
    <n v="66"/>
    <n v="31"/>
    <s v="تم التسليم محمود على "/>
    <x v="0"/>
    <x v="0"/>
  </r>
  <r>
    <s v="تاكى "/>
    <x v="1"/>
    <x v="2"/>
    <s v="العباسيه"/>
    <x v="1"/>
    <x v="3"/>
    <s v="ركنة بسرير"/>
    <m/>
    <m/>
    <x v="0"/>
    <m/>
    <s v="ركنه "/>
    <n v="22000"/>
    <s v="كاش"/>
    <d v="2024-08-19T00:00:00"/>
    <d v="2024-09-01T00:00:00"/>
    <d v="2024-09-17T00:00:00"/>
    <n v="13"/>
    <n v="29"/>
    <m/>
    <x v="0"/>
    <x v="0"/>
  </r>
  <r>
    <s v="ساره"/>
    <x v="0"/>
    <x v="2"/>
    <s v="القاهره الجديده"/>
    <x v="0"/>
    <x v="1"/>
    <s v="فردى"/>
    <s v="اسبانى"/>
    <n v="120"/>
    <x v="4"/>
    <m/>
    <s v="   ٢. سرير اسبانى ابيض ١٢٠"/>
    <n v="10987"/>
    <s v="مسبق الدفع"/>
    <d v="2024-09-14T00:00:00"/>
    <d v="2024-10-29T00:00:00"/>
    <d v="2024-10-13T00:00:00"/>
    <n v="45"/>
    <n v="29"/>
    <s v="تم التسليم محمود على "/>
    <x v="0"/>
    <x v="0"/>
  </r>
  <r>
    <s v="فاطمه محمد"/>
    <x v="0"/>
    <x v="3"/>
    <s v="أكتوبر الجيزه"/>
    <x v="0"/>
    <x v="1"/>
    <s v="فردى"/>
    <s v="فورجينا"/>
    <n v="120"/>
    <x v="4"/>
    <m/>
    <m/>
    <n v="8943"/>
    <s v="كاش"/>
    <d v="2024-10-21T00:00:00"/>
    <d v="2024-11-14T00:00:00"/>
    <d v="2024-11-18T00:00:00"/>
    <n v="24"/>
    <n v="28"/>
    <s v="تم التسليم محمود على "/>
    <x v="0"/>
    <x v="0"/>
  </r>
  <r>
    <s v="شيك هومز "/>
    <x v="1"/>
    <x v="3"/>
    <s v="اكتوبر الجيزه"/>
    <x v="2"/>
    <x v="1"/>
    <s v="دورين"/>
    <s v="فانتستيك"/>
    <n v="100"/>
    <x v="0"/>
    <m/>
    <m/>
    <n v="12777.5"/>
    <s v="كاش"/>
    <d v="2024-10-22T00:00:00"/>
    <d v="2024-11-12T00:00:00"/>
    <d v="2024-11-18T00:00:00"/>
    <n v="21"/>
    <n v="27"/>
    <s v="تم التسليم محمود على "/>
    <x v="0"/>
    <x v="0"/>
  </r>
  <r>
    <s v="رنا ميلاد"/>
    <x v="0"/>
    <x v="1"/>
    <s v="جليم الإسكندرية "/>
    <x v="0"/>
    <x v="0"/>
    <m/>
    <s v="مكتبه"/>
    <m/>
    <x v="0"/>
    <m/>
    <m/>
    <n v="8449"/>
    <s v="مسبق الدفع"/>
    <d v="2024-11-27T00:00:00"/>
    <d v="2024-12-10T00:00:00"/>
    <d v="2024-12-23T00:00:00"/>
    <n v="13"/>
    <n v="26"/>
    <s v="تم التسليم عن طريق شركه شحن "/>
    <x v="0"/>
    <x v="0"/>
  </r>
  <r>
    <s v="رحاب"/>
    <x v="0"/>
    <x v="2"/>
    <s v="القاهره الجديده"/>
    <x v="0"/>
    <x v="2"/>
    <s v="4*1"/>
    <m/>
    <m/>
    <x v="3"/>
    <s v="رمادى"/>
    <s v="كنبه سرير ٤ حركه "/>
    <n v="21999"/>
    <s v="مسبق الدفع"/>
    <d v="2024-09-14T00:00:00"/>
    <d v="2024-11-20T00:00:00"/>
    <d v="2024-10-09T00:00:00"/>
    <n v="67"/>
    <n v="25"/>
    <s v="تم التسليم محمود على "/>
    <x v="0"/>
    <x v="0"/>
  </r>
  <r>
    <s v="هشام سامى"/>
    <x v="0"/>
    <x v="2"/>
    <s v="41 كومبوند جولدن جستس الدور 4 شقه 4"/>
    <x v="3"/>
    <x v="1"/>
    <s v="فردى"/>
    <s v="بلحه"/>
    <n v="140"/>
    <x v="6"/>
    <s v="خشب بنى فاتح"/>
    <m/>
    <n v="5135"/>
    <s v="مسبق الدفع"/>
    <d v="2024-10-20T00:00:00"/>
    <d v="2024-11-17T00:00:00"/>
    <d v="2024-11-14T00:00:00"/>
    <n v="28"/>
    <n v="25"/>
    <s v="تم التسليم محمود على "/>
    <x v="0"/>
    <x v="0"/>
  </r>
  <r>
    <s v="تاكى "/>
    <x v="1"/>
    <x v="2"/>
    <s v="العباسيه"/>
    <x v="1"/>
    <x v="1"/>
    <s v="دورين"/>
    <s v="كينج"/>
    <n v="100"/>
    <x v="3"/>
    <m/>
    <m/>
    <n v="6250"/>
    <s v="حساب شركه"/>
    <d v="2024-09-23T00:00:00"/>
    <d v="2024-10-08T00:00:00"/>
    <d v="2024-10-17T00:00:00"/>
    <n v="15"/>
    <n v="24"/>
    <s v="تم التسليم محمود على "/>
    <x v="0"/>
    <x v="0"/>
  </r>
  <r>
    <s v="بولا هومزمارت"/>
    <x v="0"/>
    <x v="2"/>
    <s v="المعادى"/>
    <x v="0"/>
    <x v="1"/>
    <s v="فردى"/>
    <s v="اسبانى"/>
    <n v="100"/>
    <x v="4"/>
    <m/>
    <m/>
    <n v="5100"/>
    <s v="كاش"/>
    <d v="2024-10-28T00:00:00"/>
    <d v="2024-11-11T00:00:00"/>
    <d v="2024-11-21T00:00:00"/>
    <n v="14"/>
    <n v="24"/>
    <s v="تم التسليم محمود على "/>
    <x v="0"/>
    <x v="0"/>
  </r>
  <r>
    <s v="بولا هومزمارت"/>
    <x v="0"/>
    <x v="2"/>
    <s v="المعادى"/>
    <x v="0"/>
    <x v="1"/>
    <s v="فردى"/>
    <s v="اسبانى"/>
    <n v="120"/>
    <x v="4"/>
    <m/>
    <m/>
    <n v="5300"/>
    <s v="كاش"/>
    <d v="2024-10-28T00:00:00"/>
    <d v="2024-11-11T00:00:00"/>
    <d v="2024-11-21T00:00:00"/>
    <n v="14"/>
    <n v="24"/>
    <s v="تم التسليم محمود على "/>
    <x v="0"/>
    <x v="0"/>
  </r>
  <r>
    <s v="تاكى "/>
    <x v="1"/>
    <x v="2"/>
    <s v="العباسيه "/>
    <x v="1"/>
    <x v="2"/>
    <s v="سحارة"/>
    <m/>
    <m/>
    <x v="0"/>
    <m/>
    <s v="٢ كنبه سحاره بدون مخدع "/>
    <n v="6000"/>
    <s v="كاش"/>
    <d v="2024-08-25T00:00:00"/>
    <d v="2024-09-15T00:00:00"/>
    <d v="2024-09-17T00:00:00"/>
    <n v="21"/>
    <n v="23"/>
    <s v="تم التسليم محمود على "/>
    <x v="0"/>
    <x v="0"/>
  </r>
  <r>
    <s v="شيك هومز "/>
    <x v="1"/>
    <x v="6"/>
    <m/>
    <x v="2"/>
    <x v="2"/>
    <s v="4×1"/>
    <m/>
    <m/>
    <x v="3"/>
    <s v="نبيتى "/>
    <m/>
    <n v="14550"/>
    <s v="كاش"/>
    <d v="2024-10-10T00:00:00"/>
    <d v="2024-10-31T00:00:00"/>
    <d v="2024-11-02T00:00:00"/>
    <n v="21"/>
    <n v="23"/>
    <s v="تم التسليم محمود على "/>
    <x v="0"/>
    <x v="0"/>
  </r>
  <r>
    <s v="ساره"/>
    <x v="0"/>
    <x v="3"/>
    <s v="الشيخ زايد اكتوبر"/>
    <x v="0"/>
    <x v="1"/>
    <s v="دورين"/>
    <s v="كينج"/>
    <n v="90"/>
    <x v="3"/>
    <m/>
    <m/>
    <n v="11649"/>
    <s v="كاش"/>
    <d v="2024-10-26T00:00:00"/>
    <d v="2024-11-10T00:00:00"/>
    <d v="2024-11-18T00:00:00"/>
    <n v="15"/>
    <n v="23"/>
    <s v="تم التسليم محمود على "/>
    <x v="0"/>
    <x v="0"/>
  </r>
  <r>
    <s v="شيك هومز "/>
    <x v="1"/>
    <x v="6"/>
    <m/>
    <x v="2"/>
    <x v="2"/>
    <s v="4*1"/>
    <m/>
    <m/>
    <x v="5"/>
    <m/>
    <s v="كنبه سرير رمادى "/>
    <n v="14550"/>
    <s v="مسبق الدفع"/>
    <d v="2024-08-14T00:00:00"/>
    <d v="2024-09-03T00:00:00"/>
    <d v="2024-09-05T00:00:00"/>
    <n v="20"/>
    <n v="22"/>
    <s v="تم التسليم عن طريق شركه شحن "/>
    <x v="0"/>
    <x v="0"/>
  </r>
  <r>
    <s v="شيك هومز "/>
    <x v="1"/>
    <x v="6"/>
    <m/>
    <x v="2"/>
    <x v="1"/>
    <s v="فردى"/>
    <s v="اسبانى"/>
    <n v="120"/>
    <x v="4"/>
    <m/>
    <m/>
    <n v="7433"/>
    <s v="مسبق الدفع"/>
    <d v="2024-09-29T00:00:00"/>
    <d v="2024-10-20T00:00:00"/>
    <d v="2024-10-21T00:00:00"/>
    <n v="21"/>
    <n v="22"/>
    <s v="تم التسليم محمود على "/>
    <x v="0"/>
    <x v="0"/>
  </r>
  <r>
    <s v="شيك هومز "/>
    <x v="1"/>
    <x v="2"/>
    <s v="مخزن شيك هومز"/>
    <x v="2"/>
    <x v="2"/>
    <s v="4×1"/>
    <m/>
    <m/>
    <x v="3"/>
    <s v="بترولى "/>
    <m/>
    <n v="14550"/>
    <s v="مسبق الدفع"/>
    <d v="2024-10-08T00:00:00"/>
    <d v="2024-10-29T00:00:00"/>
    <d v="2024-10-30T00:00:00"/>
    <n v="21"/>
    <n v="22"/>
    <s v="تم التسليم محمود على "/>
    <x v="0"/>
    <x v="0"/>
  </r>
  <r>
    <s v="محمد ناجى"/>
    <x v="0"/>
    <x v="2"/>
    <s v="مدينه نصر "/>
    <x v="0"/>
    <x v="0"/>
    <s v="دوران "/>
    <s v="ميكانزم"/>
    <m/>
    <x v="4"/>
    <s v="ابيض في بنى غامق"/>
    <m/>
    <n v="10249"/>
    <s v="كاش"/>
    <d v="2024-11-27T00:00:00"/>
    <d v="2024-12-10T00:00:00"/>
    <d v="2024-12-19T00:00:00"/>
    <n v="13"/>
    <n v="22"/>
    <s v="تم التسليم محمود على "/>
    <x v="0"/>
    <x v="0"/>
  </r>
  <r>
    <s v="لينا "/>
    <x v="0"/>
    <x v="2"/>
    <s v="المقطم "/>
    <x v="0"/>
    <x v="0"/>
    <s v="2 ميكانزم"/>
    <m/>
    <m/>
    <x v="0"/>
    <m/>
    <s v="ترابيزه قهوه علويه جديده "/>
    <n v="7849"/>
    <s v="مسبق الدفع"/>
    <d v="2024-09-04T00:00:00"/>
    <d v="2024-09-16T00:00:00"/>
    <d v="2024-09-25T00:00:00"/>
    <n v="12"/>
    <n v="21"/>
    <s v="تم التسليم عن طريق شركه شحن "/>
    <x v="1"/>
    <x v="0"/>
  </r>
  <r>
    <s v="طارق كمال "/>
    <x v="0"/>
    <x v="2"/>
    <s v="المعادى"/>
    <x v="0"/>
    <x v="1"/>
    <s v="ثلاثه ادوار"/>
    <s v="كيفنج"/>
    <n v="90"/>
    <x v="3"/>
    <m/>
    <s v="سرير ٣ ادوار اسود مقاس ٩٠ "/>
    <n v="17249"/>
    <s v="مسبق الدفع"/>
    <d v="2024-09-13T00:00:00"/>
    <d v="2024-09-30T00:00:00"/>
    <d v="2024-10-04T00:00:00"/>
    <n v="17"/>
    <n v="21"/>
    <s v="تم التسليم محمود على "/>
    <x v="0"/>
    <x v="0"/>
  </r>
  <r>
    <s v="اوسكار راتن"/>
    <x v="1"/>
    <x v="3"/>
    <s v="المخزن ابو الغيط "/>
    <x v="4"/>
    <x v="1"/>
    <s v="دورين"/>
    <s v="كيفنج"/>
    <n v="80"/>
    <x v="4"/>
    <m/>
    <m/>
    <n v="5074"/>
    <s v="حساب شركه"/>
    <d v="2024-09-21T00:00:00"/>
    <d v="2024-10-05T00:00:00"/>
    <d v="2024-10-12T00:00:00"/>
    <n v="14"/>
    <n v="21"/>
    <s v="تم التسليم محمود على "/>
    <x v="0"/>
    <x v="0"/>
  </r>
  <r>
    <s v="شيك هومز "/>
    <x v="1"/>
    <x v="6"/>
    <m/>
    <x v="2"/>
    <x v="1"/>
    <s v="دورين"/>
    <s v="كينج"/>
    <n v="100"/>
    <x v="4"/>
    <m/>
    <s v="سرير كينج ابيض "/>
    <n v="9208"/>
    <s v="كاش"/>
    <d v="2024-09-01T00:00:00"/>
    <d v="2024-09-19T00:00:00"/>
    <d v="2024-09-21T00:00:00"/>
    <n v="18"/>
    <n v="20"/>
    <s v="تم التسليم محمود على "/>
    <x v="0"/>
    <x v="0"/>
  </r>
  <r>
    <s v="شيك هومز "/>
    <x v="1"/>
    <x v="6"/>
    <m/>
    <x v="2"/>
    <x v="1"/>
    <s v="دورين"/>
    <s v="كينج"/>
    <n v="100"/>
    <x v="3"/>
    <m/>
    <s v="سرير كينج اسود "/>
    <n v="9208"/>
    <s v="كاش"/>
    <d v="2024-09-01T00:00:00"/>
    <d v="2024-09-19T00:00:00"/>
    <d v="2024-09-21T00:00:00"/>
    <n v="18"/>
    <n v="20"/>
    <s v="تم التسليم محمود على "/>
    <x v="0"/>
    <x v="0"/>
  </r>
  <r>
    <s v="اسراء ابو العنين "/>
    <x v="0"/>
    <x v="2"/>
    <s v="القاهره الجديده"/>
    <x v="0"/>
    <x v="1"/>
    <s v="فردى"/>
    <s v="اسبانى"/>
    <n v="120"/>
    <x v="3"/>
    <m/>
    <s v="سرير اسبانى اسود مقاس ١٢٠"/>
    <n v="7460"/>
    <s v="مسبق الدفع"/>
    <d v="2024-09-13T00:00:00"/>
    <d v="2024-09-26T00:00:00"/>
    <d v="2024-10-03T00:00:00"/>
    <n v="13"/>
    <n v="20"/>
    <s v="تم التسليم محمود على "/>
    <x v="0"/>
    <x v="0"/>
  </r>
  <r>
    <s v="وائل صادق"/>
    <x v="0"/>
    <x v="2"/>
    <s v="القاهره الجديده"/>
    <x v="0"/>
    <x v="1"/>
    <s v="فردى"/>
    <s v="كورين"/>
    <n v="140"/>
    <x v="7"/>
    <s v="رمادى"/>
    <s v="سرير كوين مقاس ١٤٠ دهبي ورمادى "/>
    <n v="9528"/>
    <s v="مسبق الدفع"/>
    <d v="2024-09-13T00:00:00"/>
    <d v="2024-09-26T00:00:00"/>
    <d v="2024-10-03T00:00:00"/>
    <n v="13"/>
    <n v="20"/>
    <s v="تم التسليم محمود على "/>
    <x v="0"/>
    <x v="0"/>
  </r>
  <r>
    <s v="هشام بسيونى "/>
    <x v="0"/>
    <x v="3"/>
    <s v="حدايق الاهرام "/>
    <x v="0"/>
    <x v="1"/>
    <s v="دورين"/>
    <s v="كيفنج"/>
    <n v="100"/>
    <x v="3"/>
    <m/>
    <s v="            ٢ سرير كيفنج ١٠٠ اسود "/>
    <n v="11949"/>
    <s v="كاش"/>
    <d v="2024-09-12T00:00:00"/>
    <d v="2024-09-29T00:00:00"/>
    <d v="2024-10-02T00:00:00"/>
    <n v="17"/>
    <n v="20"/>
    <s v="تم التسليم محمود على "/>
    <x v="0"/>
    <x v="0"/>
  </r>
  <r>
    <s v="احمد "/>
    <x v="0"/>
    <x v="2"/>
    <s v="الشروق"/>
    <x v="0"/>
    <x v="1"/>
    <s v="ثلاثه ادوار"/>
    <s v="كيفنج"/>
    <n v="80"/>
    <x v="4"/>
    <m/>
    <s v="سرير ٣ ادوار ابيض مقاس ٨٠ ابيض "/>
    <n v="16599"/>
    <s v="مسبق الدفع"/>
    <d v="2024-09-13T00:00:00"/>
    <d v="2024-09-30T00:00:00"/>
    <d v="2024-10-03T00:00:00"/>
    <n v="17"/>
    <n v="20"/>
    <s v="تم التسليم محمود على "/>
    <x v="0"/>
    <x v="0"/>
  </r>
  <r>
    <s v="مها "/>
    <x v="0"/>
    <x v="0"/>
    <s v="لافيستا العين السخنه "/>
    <x v="0"/>
    <x v="1"/>
    <s v="دورين"/>
    <s v="كيفنج"/>
    <n v="140"/>
    <x v="8"/>
    <m/>
    <s v="سرير استيل ازرق مقاس ١٤٠"/>
    <n v="13099"/>
    <s v="مسبق الدفع"/>
    <d v="2024-09-13T00:00:00"/>
    <d v="2024-09-30T00:00:00"/>
    <d v="2024-10-03T00:00:00"/>
    <n v="17"/>
    <n v="20"/>
    <s v="تم التسليم عن طريق شركه شحن "/>
    <x v="0"/>
    <x v="0"/>
  </r>
  <r>
    <s v="keira"/>
    <x v="0"/>
    <x v="2"/>
    <s v="القاهره الجديده "/>
    <x v="0"/>
    <x v="1"/>
    <s v="دورين"/>
    <s v="نوفال "/>
    <s v="١٤٠/١٠٠"/>
    <x v="1"/>
    <m/>
    <m/>
    <n v="12899"/>
    <s v="كاش"/>
    <d v="2024-10-13T00:00:00"/>
    <d v="2024-12-17T00:00:00"/>
    <d v="2024-11-02T00:00:00"/>
    <n v="65"/>
    <n v="20"/>
    <s v="تم التسليم محمود على "/>
    <x v="0"/>
    <x v="0"/>
  </r>
  <r>
    <s v="حسن مغرب "/>
    <x v="0"/>
    <x v="3"/>
    <s v="٦ اكتوبر الجيزه "/>
    <x v="0"/>
    <x v="1"/>
    <s v="دورين"/>
    <s v="كيفنج"/>
    <n v="120"/>
    <x v="5"/>
    <m/>
    <s v="سرير كيفنج ١٢٠ رمادى "/>
    <n v="12999"/>
    <s v="مسبق الدفع"/>
    <d v="2024-09-14T00:00:00"/>
    <d v="2024-09-27T00:00:00"/>
    <d v="2024-10-02T00:00:00"/>
    <n v="13"/>
    <n v="18"/>
    <s v="تم التسليم محمود على "/>
    <x v="0"/>
    <x v="0"/>
  </r>
  <r>
    <s v="حاتم العيسوي "/>
    <x v="0"/>
    <x v="3"/>
    <s v="٦ اكتوبر الجيزه "/>
    <x v="0"/>
    <x v="1"/>
    <s v="منطبق"/>
    <m/>
    <m/>
    <x v="3"/>
    <s v="اسود"/>
    <s v="سرير منطبق اسود حديد وقماش"/>
    <n v="9399"/>
    <s v="مسبق الدفع"/>
    <d v="2024-09-13T00:00:00"/>
    <d v="2024-09-24T00:00:00"/>
    <d v="2024-09-30T00:00:00"/>
    <n v="11"/>
    <n v="17"/>
    <s v="تم التسليم عن طريق شركه شحن "/>
    <x v="0"/>
    <x v="0"/>
  </r>
  <r>
    <s v="رامى "/>
    <x v="0"/>
    <x v="2"/>
    <s v="الشروق"/>
    <x v="0"/>
    <x v="1"/>
    <s v="دورين"/>
    <s v="نوفال"/>
    <n v="100"/>
    <x v="5"/>
    <m/>
    <s v="سرير نوفال ١٠٠ رمادى "/>
    <n v="12399"/>
    <s v="مسبق الدفع"/>
    <d v="2024-09-14T00:00:00"/>
    <d v="2024-11-20T00:00:00"/>
    <d v="2024-10-01T00:00:00"/>
    <n v="67"/>
    <n v="17"/>
    <s v="تم التسليم عن طريق شركه شحن "/>
    <x v="0"/>
    <x v="0"/>
  </r>
  <r>
    <s v="شيك هومز "/>
    <x v="1"/>
    <x v="2"/>
    <s v="التجمع"/>
    <x v="2"/>
    <x v="2"/>
    <s v="4×1"/>
    <m/>
    <m/>
    <x v="0"/>
    <s v="نبيتى "/>
    <m/>
    <n v="14950"/>
    <s v="مسبق الدفع"/>
    <d v="2024-09-26T00:00:00"/>
    <d v="2024-10-14T00:00:00"/>
    <d v="2024-10-13T00:00:00"/>
    <n v="18"/>
    <n v="17"/>
    <s v="تم التسليم محمود على "/>
    <x v="0"/>
    <x v="0"/>
  </r>
  <r>
    <s v="حمدى ذكرى"/>
    <x v="0"/>
    <x v="3"/>
    <s v="٦ اكتوبر الجيزه"/>
    <x v="0"/>
    <x v="1"/>
    <s v="دورين"/>
    <s v="نوفال"/>
    <n v="80"/>
    <x v="3"/>
    <m/>
    <m/>
    <n v="13099"/>
    <s v="كاش"/>
    <d v="2024-12-12T00:00:00"/>
    <d v="2024-12-28T00:00:00"/>
    <d v="2024-12-29T00:00:00"/>
    <n v="16"/>
    <n v="17"/>
    <s v="تم التسليم محمود على "/>
    <x v="0"/>
    <x v="0"/>
  </r>
  <r>
    <s v="yilmaz"/>
    <x v="0"/>
    <x v="3"/>
    <s v="٦ اكتوبر الجيزه "/>
    <x v="0"/>
    <x v="1"/>
    <s v="فردى"/>
    <m/>
    <m/>
    <x v="4"/>
    <m/>
    <s v="سرير فردى ابيض "/>
    <n v="7228"/>
    <s v="مسبق الدفع"/>
    <d v="2024-08-25T00:00:00"/>
    <d v="2024-09-03T00:00:00"/>
    <d v="2024-09-10T00:00:00"/>
    <n v="9"/>
    <n v="16"/>
    <s v="تم التسليم عن طريق شركه شحن "/>
    <x v="0"/>
    <x v="0"/>
  </r>
  <r>
    <s v="محمد شكرى "/>
    <x v="0"/>
    <x v="2"/>
    <s v="مدينتى"/>
    <x v="0"/>
    <x v="1"/>
    <s v="دورين"/>
    <s v="كيفنج"/>
    <n v="80"/>
    <x v="4"/>
    <m/>
    <m/>
    <n v="12099"/>
    <s v="مسبق الدفع"/>
    <d v="2024-11-11T00:00:00"/>
    <d v="2024-11-26T00:00:00"/>
    <d v="2024-11-27T00:00:00"/>
    <n v="15"/>
    <n v="16"/>
    <s v="تم التسليم محمود على "/>
    <x v="0"/>
    <x v="0"/>
  </r>
  <r>
    <s v="بافلى هانى "/>
    <x v="0"/>
    <x v="2"/>
    <s v="شبرا "/>
    <x v="0"/>
    <x v="1"/>
    <s v="فردى "/>
    <s v="اسبانى "/>
    <n v="120"/>
    <x v="5"/>
    <m/>
    <m/>
    <n v="10885"/>
    <s v="كاش"/>
    <d v="2024-11-24T00:00:00"/>
    <d v="2024-12-05T00:00:00"/>
    <d v="2024-12-10T00:00:00"/>
    <n v="11"/>
    <n v="16"/>
    <s v="تم التسليم محمود على "/>
    <x v="0"/>
    <x v="0"/>
  </r>
  <r>
    <s v="احمد "/>
    <x v="0"/>
    <x v="2"/>
    <s v="القاهره الجديده"/>
    <x v="0"/>
    <x v="1"/>
    <s v="فردى"/>
    <s v="فورجينا"/>
    <n v="80"/>
    <x v="4"/>
    <m/>
    <s v="٤سرير فردى خشب موسكى الحديد ابيض مقاس ٨٠"/>
    <n v="7987"/>
    <s v="مسبق الدفع"/>
    <d v="2024-09-06T00:00:00"/>
    <d v="2024-09-16T00:00:00"/>
    <d v="2024-09-21T00:00:00"/>
    <n v="10"/>
    <n v="15"/>
    <s v="تم التسليم محمود على "/>
    <x v="0"/>
    <x v="0"/>
  </r>
  <r>
    <s v="حماده"/>
    <x v="0"/>
    <x v="2"/>
    <s v="المعادى"/>
    <x v="0"/>
    <x v="1"/>
    <s v="فردى"/>
    <s v="فورجينا"/>
    <n v="160"/>
    <x v="2"/>
    <m/>
    <m/>
    <n v="11395"/>
    <s v="مسبق الدفع"/>
    <d v="2024-11-12T00:00:00"/>
    <d v="2024-11-24T00:00:00"/>
    <d v="2024-11-27T00:00:00"/>
    <n v="12"/>
    <n v="15"/>
    <s v="تم التسليم محمود على "/>
    <x v="0"/>
    <x v="0"/>
  </r>
  <r>
    <s v="محمد عادل "/>
    <x v="0"/>
    <x v="4"/>
    <s v="العبور"/>
    <x v="0"/>
    <x v="1"/>
    <s v="منطبق"/>
    <m/>
    <m/>
    <x v="3"/>
    <s v="اسود"/>
    <m/>
    <n v="10249"/>
    <s v="كاش"/>
    <d v="2024-12-04T00:00:00"/>
    <d v="2024-12-14T00:00:00"/>
    <d v="2024-12-19T00:00:00"/>
    <n v="10"/>
    <n v="15"/>
    <s v="تم التسليم محمود على "/>
    <x v="0"/>
    <x v="0"/>
  </r>
  <r>
    <s v="شيك هومز"/>
    <x v="1"/>
    <x v="2"/>
    <s v="مخزن شيك هومز"/>
    <x v="2"/>
    <x v="2"/>
    <s v="4×1"/>
    <s v="ارينا"/>
    <m/>
    <x v="3"/>
    <s v="روك ١٠"/>
    <m/>
    <n v="8700"/>
    <s v="حساب شركه"/>
    <d v="2024-12-14T00:00:00"/>
    <d v="2025-01-05T00:00:00"/>
    <d v="2024-12-29T00:00:00"/>
    <n v="22"/>
    <n v="15"/>
    <s v="تم التسليم محمود على "/>
    <x v="0"/>
    <x v="0"/>
  </r>
  <r>
    <s v="خالد عبد القوى "/>
    <x v="0"/>
    <x v="3"/>
    <s v="العجوزه - الجيزه"/>
    <x v="0"/>
    <x v="1"/>
    <s v="منطبق"/>
    <m/>
    <m/>
    <x v="4"/>
    <s v="اسود"/>
    <s v="سرير منطبق الحديد ابيض والقماش ابيض "/>
    <n v="10160"/>
    <s v="مسبق الدفع"/>
    <d v="2024-07-27T00:00:00"/>
    <m/>
    <d v="2024-08-10T00:00:00"/>
    <n v="0"/>
    <n v="14"/>
    <s v="تم التسليم عن طريق شركه شحن "/>
    <x v="0"/>
    <x v="0"/>
  </r>
  <r>
    <s v="محمود"/>
    <x v="0"/>
    <x v="7"/>
    <s v="سموحه - اسكندريه"/>
    <x v="0"/>
    <x v="1"/>
    <s v="منطبق"/>
    <m/>
    <m/>
    <x v="3"/>
    <s v="اسود"/>
    <s v="سرير منطبق اسود والقماش اسود "/>
    <n v="10160"/>
    <s v="كاش"/>
    <d v="2024-07-28T00:00:00"/>
    <m/>
    <d v="2024-08-11T00:00:00"/>
    <n v="0"/>
    <n v="14"/>
    <s v="تم التسليم عن طريق شركه شحن "/>
    <x v="0"/>
    <x v="0"/>
  </r>
  <r>
    <s v="ولاء بدوى"/>
    <x v="0"/>
    <x v="2"/>
    <s v="العباسيه"/>
    <x v="0"/>
    <x v="1"/>
    <s v="فردى"/>
    <s v="فورجينا"/>
    <n v="120"/>
    <x v="4"/>
    <m/>
    <m/>
    <n v="8943"/>
    <s v="كاش"/>
    <d v="2024-09-26T00:00:00"/>
    <d v="2024-11-10T00:00:00"/>
    <d v="2024-10-10T00:00:00"/>
    <n v="45"/>
    <n v="14"/>
    <s v="تم التسليم محمود على "/>
    <x v="0"/>
    <x v="0"/>
  </r>
  <r>
    <s v="تاكى "/>
    <x v="1"/>
    <x v="2"/>
    <s v="العباسيه"/>
    <x v="1"/>
    <x v="4"/>
    <s v="فنسيا"/>
    <m/>
    <m/>
    <x v="0"/>
    <m/>
    <s v="٢ فوتيه فنيسيا "/>
    <n v="9300"/>
    <s v="كاش"/>
    <d v="2024-09-04T00:00:00"/>
    <d v="2024-09-15T00:00:00"/>
    <d v="2024-09-17T00:00:00"/>
    <n v="11"/>
    <n v="13"/>
    <s v="تم التسليم محمود على "/>
    <x v="0"/>
    <x v="0"/>
  </r>
  <r>
    <s v="اوسكار راتن"/>
    <x v="1"/>
    <x v="3"/>
    <s v="المخزن ابو الغيط "/>
    <x v="4"/>
    <x v="1"/>
    <s v="فردى"/>
    <s v="فورجينا"/>
    <n v="120"/>
    <x v="4"/>
    <m/>
    <m/>
    <n v="4020"/>
    <s v="حساب شركه"/>
    <d v="2024-09-29T00:00:00"/>
    <d v="2024-10-12T00:00:00"/>
    <d v="2024-10-12T00:00:00"/>
    <n v="13"/>
    <n v="13"/>
    <s v="تم التسليم محمود على "/>
    <x v="0"/>
    <x v="1"/>
  </r>
  <r>
    <s v="اوسكار راتن"/>
    <x v="1"/>
    <x v="3"/>
    <s v="المخزن ابو الغيط "/>
    <x v="4"/>
    <x v="1"/>
    <s v="دورين"/>
    <s v="كينج"/>
    <n v="90"/>
    <x v="3"/>
    <m/>
    <m/>
    <n v="5766"/>
    <s v="حساب شركه"/>
    <d v="2024-11-12T00:00:00"/>
    <d v="2024-11-26T00:00:00"/>
    <d v="2024-11-25T00:00:00"/>
    <n v="14"/>
    <n v="13"/>
    <s v="تم التسليم محمود على "/>
    <x v="0"/>
    <x v="0"/>
  </r>
  <r>
    <s v="صفاء عبد الباقي"/>
    <x v="0"/>
    <x v="2"/>
    <s v="التجمع الخامس"/>
    <x v="0"/>
    <x v="1"/>
    <s v="دورين"/>
    <s v="كينج "/>
    <n v="80"/>
    <x v="4"/>
    <m/>
    <m/>
    <n v="12919"/>
    <s v="مسبق الدفع"/>
    <d v="2024-11-14T00:00:00"/>
    <d v="2024-11-30T00:00:00"/>
    <d v="2024-11-27T00:00:00"/>
    <n v="16"/>
    <n v="13"/>
    <s v="تم التسليم محمود على "/>
    <x v="0"/>
    <x v="0"/>
  </r>
  <r>
    <s v="فيصل نعيم "/>
    <x v="0"/>
    <x v="2"/>
    <s v="التجمع الخامس "/>
    <x v="4"/>
    <x v="1"/>
    <s v="دورين"/>
    <s v="كيفنج"/>
    <n v="120"/>
    <x v="3"/>
    <m/>
    <s v="٢ سرير كيفنج ١٢٠ اسود "/>
    <n v="6180"/>
    <s v="كاش"/>
    <d v="2024-09-03T00:00:00"/>
    <d v="2024-09-16T00:00:00"/>
    <d v="2024-09-15T00:00:00"/>
    <n v="13"/>
    <n v="12"/>
    <s v="تم التسليم محمود على "/>
    <x v="0"/>
    <x v="0"/>
  </r>
  <r>
    <s v="حسن حازم"/>
    <x v="0"/>
    <x v="3"/>
    <s v="٦ اكتوبر الجيزه "/>
    <x v="0"/>
    <x v="1"/>
    <s v="فردى"/>
    <s v="اسبانى"/>
    <n v="120"/>
    <x v="4"/>
    <m/>
    <s v="سرير اسبانى ابيض ١٢٠"/>
    <n v="10987"/>
    <s v="مسبق الدفع"/>
    <d v="2024-09-09T00:00:00"/>
    <d v="2024-09-17T00:00:00"/>
    <d v="2024-09-21T00:00:00"/>
    <n v="8"/>
    <n v="12"/>
    <s v="تم التسليم محمود على "/>
    <x v="0"/>
    <x v="0"/>
  </r>
  <r>
    <s v="منزلى"/>
    <x v="0"/>
    <x v="2"/>
    <s v="التجمع الخامس"/>
    <x v="3"/>
    <x v="1"/>
    <s v="فردى"/>
    <s v="فورجينا"/>
    <n v="120"/>
    <x v="4"/>
    <m/>
    <m/>
    <n v="4520"/>
    <s v="حساب شركه"/>
    <d v="2024-11-10T00:00:00"/>
    <d v="2024-11-22T00:00:00"/>
    <d v="2024-11-21T00:00:00"/>
    <n v="12"/>
    <n v="11"/>
    <s v="تم التسليم محمود على "/>
    <x v="0"/>
    <x v="0"/>
  </r>
  <r>
    <s v="اوسكار راتن"/>
    <x v="1"/>
    <x v="3"/>
    <s v="المخزن ابو الغيط "/>
    <x v="4"/>
    <x v="1"/>
    <s v="دورين"/>
    <s v="نوفال"/>
    <n v="120"/>
    <x v="5"/>
    <m/>
    <m/>
    <n v="6376"/>
    <s v="حساب شركه"/>
    <d v="2024-11-14T00:00:00"/>
    <d v="2024-11-27T00:00:00"/>
    <d v="2024-11-25T00:00:00"/>
    <n v="13"/>
    <n v="11"/>
    <s v="تم التسليم محمود على "/>
    <x v="0"/>
    <x v="0"/>
  </r>
  <r>
    <s v="اوسكار راتن"/>
    <x v="1"/>
    <x v="3"/>
    <s v="المخزن"/>
    <x v="4"/>
    <x v="1"/>
    <s v="دورين "/>
    <s v="نوفال"/>
    <n v="90"/>
    <x v="3"/>
    <m/>
    <m/>
    <n v="5294"/>
    <s v="حساب شركه"/>
    <d v="2024-11-14T00:00:00"/>
    <d v="2024-11-27T00:00:00"/>
    <d v="2024-11-25T00:00:00"/>
    <n v="13"/>
    <n v="11"/>
    <s v="تم التسليم محمود على "/>
    <x v="0"/>
    <x v="0"/>
  </r>
  <r>
    <s v="اوسكار راتن"/>
    <x v="1"/>
    <x v="4"/>
    <s v="مخزن اوسكار في القناطر "/>
    <x v="4"/>
    <x v="1"/>
    <s v="فردى"/>
    <s v="فورجينا"/>
    <n v="120"/>
    <x v="4"/>
    <m/>
    <s v="٢ سريرفورجينا خشب موسكى ابيض مقاس ١٢٠"/>
    <n v="4020"/>
    <s v="حساب شركه"/>
    <d v="2024-09-12T00:00:00"/>
    <d v="2024-09-21T00:00:00"/>
    <d v="2024-09-22T00:00:00"/>
    <n v="9"/>
    <n v="10"/>
    <s v="تم التسليم محمود على "/>
    <x v="0"/>
    <x v="0"/>
  </r>
  <r>
    <s v="اوسكار راتن"/>
    <x v="1"/>
    <x v="4"/>
    <s v="مخزن اوسكار في القناطر "/>
    <x v="4"/>
    <x v="1"/>
    <s v="فردى"/>
    <s v="ارفيل"/>
    <n v="120"/>
    <x v="3"/>
    <m/>
    <s v="٢ سرير ارفيل ١٢٠ اسود "/>
    <n v="4020"/>
    <s v="مسبق الدفع"/>
    <d v="2024-09-12T00:00:00"/>
    <d v="2024-09-21T00:00:00"/>
    <d v="2024-09-22T00:00:00"/>
    <n v="9"/>
    <n v="10"/>
    <s v="تم التسليم محمود على "/>
    <x v="0"/>
    <x v="0"/>
  </r>
  <r>
    <s v="يوسف شناوى"/>
    <x v="0"/>
    <x v="1"/>
    <s v="الابراهيميه . الإسكندرية "/>
    <x v="0"/>
    <x v="0"/>
    <s v="رف سحاب"/>
    <m/>
    <m/>
    <x v="0"/>
    <m/>
    <s v="ترابيزه قهوه علويه برف سحاب "/>
    <n v="8349"/>
    <s v="مسبق الدفع"/>
    <d v="2024-09-14T00:00:00"/>
    <d v="2024-09-22T00:00:00"/>
    <d v="2024-09-24T00:00:00"/>
    <n v="8"/>
    <n v="10"/>
    <s v="تم التسليم عن طريق شركه شحن "/>
    <x v="0"/>
    <x v="0"/>
  </r>
  <r>
    <s v="رندا العامرى "/>
    <x v="0"/>
    <x v="3"/>
    <s v="٦ اكتوبر الجيزه "/>
    <x v="5"/>
    <x v="1"/>
    <s v="دورين "/>
    <s v="كيفنج "/>
    <n v="80"/>
    <x v="4"/>
    <m/>
    <m/>
    <n v="7396"/>
    <s v="مسبق الدفع"/>
    <d v="2024-11-17T00:00:00"/>
    <d v="2024-11-28T00:00:00"/>
    <d v="2024-11-26T00:00:00"/>
    <n v="11"/>
    <n v="9"/>
    <s v="تم التسليم محمود على "/>
    <x v="0"/>
    <x v="0"/>
  </r>
  <r>
    <s v="اوسكار راتن"/>
    <x v="1"/>
    <x v="3"/>
    <s v="المخزن ابو الغيط "/>
    <x v="4"/>
    <x v="1"/>
    <s v="دورين "/>
    <s v="كيفنج "/>
    <n v="90"/>
    <x v="8"/>
    <m/>
    <m/>
    <n v="5217"/>
    <s v="حساب شركه"/>
    <d v="2024-12-01T00:00:00"/>
    <d v="2024-12-14T00:00:00"/>
    <d v="2024-12-10T00:00:00"/>
    <n v="13"/>
    <n v="9"/>
    <s v="تم التسليم محمود على "/>
    <x v="0"/>
    <x v="0"/>
  </r>
  <r>
    <s v="الحج محمد السويس"/>
    <x v="0"/>
    <x v="8"/>
    <s v="السويس "/>
    <x v="6"/>
    <x v="1"/>
    <s v="دورين"/>
    <s v="فانتاستك"/>
    <n v="100"/>
    <x v="0"/>
    <m/>
    <m/>
    <n v="8544.9054400000005"/>
    <n v="0"/>
    <d v="2024-10-01T00:00:00"/>
    <d v="2024-10-09T00:00:00"/>
    <d v="2024-10-09T00:00:00"/>
    <n v="8"/>
    <n v="8"/>
    <s v="تم التسليم بمعرفه الحج سيد "/>
    <x v="0"/>
    <x v="1"/>
  </r>
  <r>
    <s v="الحج محمد السويس"/>
    <x v="0"/>
    <x v="8"/>
    <s v="السويس "/>
    <x v="6"/>
    <x v="1"/>
    <s v="منطبق"/>
    <m/>
    <m/>
    <x v="3"/>
    <s v="بيج"/>
    <m/>
    <n v="4600"/>
    <n v="0"/>
    <d v="2024-10-01T00:00:00"/>
    <d v="2024-10-09T00:00:00"/>
    <d v="2024-10-09T00:00:00"/>
    <n v="8"/>
    <n v="8"/>
    <s v="تم التسليم بمعرفه الحج سيد "/>
    <x v="0"/>
    <x v="1"/>
  </r>
  <r>
    <s v="الحج محمد السويس"/>
    <x v="0"/>
    <x v="8"/>
    <s v="السويس "/>
    <x v="6"/>
    <x v="2"/>
    <s v="فنيسيا"/>
    <m/>
    <m/>
    <x v="3"/>
    <s v="رصاصي مشجر"/>
    <m/>
    <n v="10000"/>
    <n v="0"/>
    <d v="2024-10-01T00:00:00"/>
    <d v="2024-10-09T00:00:00"/>
    <d v="2024-10-09T00:00:00"/>
    <n v="8"/>
    <n v="8"/>
    <s v="تم التسليم بمعرفه الحج سيد "/>
    <x v="0"/>
    <x v="1"/>
  </r>
  <r>
    <s v="الحج محمد السويس"/>
    <x v="0"/>
    <x v="8"/>
    <s v="السويس "/>
    <x v="6"/>
    <x v="5"/>
    <m/>
    <m/>
    <m/>
    <x v="3"/>
    <s v="نبيتى "/>
    <m/>
    <n v="10249"/>
    <n v="0"/>
    <d v="2024-10-01T00:00:00"/>
    <d v="2024-10-09T00:00:00"/>
    <d v="2024-10-09T00:00:00"/>
    <n v="8"/>
    <n v="8"/>
    <s v="تم التسليم بمعرفه الحج سيد "/>
    <x v="0"/>
    <x v="1"/>
  </r>
  <r>
    <s v="شيك هومز "/>
    <x v="1"/>
    <x v="3"/>
    <s v="أكتوبر "/>
    <x v="2"/>
    <x v="2"/>
    <s v="4×1"/>
    <m/>
    <m/>
    <x v="3"/>
    <s v="بترولى "/>
    <m/>
    <n v="14550"/>
    <s v="مسبق الدفع"/>
    <d v="2024-10-07T00:00:00"/>
    <d v="2024-10-29T00:00:00"/>
    <d v="2024-10-15T00:00:00"/>
    <n v="22"/>
    <n v="8"/>
    <s v="تم التسليم محمود على "/>
    <x v="0"/>
    <x v="0"/>
  </r>
  <r>
    <s v="على رشوان "/>
    <x v="0"/>
    <x v="2"/>
    <s v="مصر الجديده"/>
    <x v="0"/>
    <x v="1"/>
    <s v="دورين"/>
    <s v="نوفال"/>
    <n v="80"/>
    <x v="4"/>
    <m/>
    <s v="سرير نوفال ابيض مقاس ٨٠"/>
    <n v="10499"/>
    <s v="كاش"/>
    <d v="2024-09-01T00:00:00"/>
    <d v="2024-09-16T00:00:00"/>
    <d v="2024-09-08T00:00:00"/>
    <n v="15"/>
    <n v="7"/>
    <s v="تم التسليم عن طريق شركه شحن "/>
    <x v="0"/>
    <x v="0"/>
  </r>
  <r>
    <s v="هبه عطيه "/>
    <x v="0"/>
    <x v="2"/>
    <s v="القاهره الجديده"/>
    <x v="0"/>
    <x v="0"/>
    <s v="دوران"/>
    <s v="ميكانزم"/>
    <m/>
    <x v="3"/>
    <s v="بنى غامق"/>
    <m/>
    <n v="11199"/>
    <s v="كاش"/>
    <d v="2024-12-12T00:00:00"/>
    <d v="2024-12-24T00:00:00"/>
    <d v="2024-12-19T00:00:00"/>
    <n v="12"/>
    <n v="7"/>
    <s v="تم التسليم محمود على "/>
    <x v="0"/>
    <x v="0"/>
  </r>
  <r>
    <s v="شيك هومز "/>
    <x v="1"/>
    <x v="6"/>
    <m/>
    <x v="2"/>
    <x v="2"/>
    <s v="4×1"/>
    <m/>
    <m/>
    <x v="3"/>
    <m/>
    <m/>
    <n v="15516"/>
    <s v="مسبق الدفع"/>
    <d v="2024-10-24T00:00:00"/>
    <d v="2024-11-14T00:00:00"/>
    <d v="2024-10-30T00:00:00"/>
    <n v="21"/>
    <n v="6"/>
    <s v="تم التسليم محمود على "/>
    <x v="0"/>
    <x v="0"/>
  </r>
  <r>
    <s v="شيك هومز"/>
    <x v="1"/>
    <x v="2"/>
    <s v="مخزن شيك هومز"/>
    <x v="2"/>
    <x v="2"/>
    <s v="4×1"/>
    <s v="ارينا"/>
    <m/>
    <x v="3"/>
    <s v="بترولى"/>
    <m/>
    <n v="15872"/>
    <s v="مسبق الدفع"/>
    <d v="2024-11-08T00:00:00"/>
    <d v="2024-12-03T00:00:00"/>
    <d v="2024-11-14T00:00:00"/>
    <n v="25"/>
    <n v="6"/>
    <s v="تم التسليم محمود على "/>
    <x v="0"/>
    <x v="0"/>
  </r>
  <r>
    <s v="ساره"/>
    <x v="0"/>
    <x v="3"/>
    <s v="٦ اكتوبر الجيزه"/>
    <x v="0"/>
    <x v="1"/>
    <s v="دورين"/>
    <s v="كينج"/>
    <n v="90"/>
    <x v="3"/>
    <m/>
    <m/>
    <n v="13439"/>
    <s v="كاش"/>
    <d v="2024-11-20T00:00:00"/>
    <d v="2024-12-05T00:00:00"/>
    <d v="2024-11-26T00:00:00"/>
    <n v="15"/>
    <n v="6"/>
    <s v="تم التسليم محمود على "/>
    <x v="0"/>
    <x v="0"/>
  </r>
  <r>
    <s v="tarek"/>
    <x v="0"/>
    <x v="2"/>
    <s v="مصر الجديده"/>
    <x v="0"/>
    <x v="1"/>
    <s v="دورين"/>
    <s v="كيفنج"/>
    <n v="80"/>
    <x v="4"/>
    <m/>
    <m/>
    <n v="10499"/>
    <s v="مسبق الدفع"/>
    <d v="2024-10-16T00:00:00"/>
    <d v="2024-12-19T00:00:00"/>
    <d v="2024-10-21T00:00:00"/>
    <n v="64"/>
    <n v="5"/>
    <s v="تم التسليم محمود على "/>
    <x v="0"/>
    <x v="0"/>
  </r>
  <r>
    <s v="محمد حمدى"/>
    <x v="0"/>
    <x v="2"/>
    <s v="مصر الجديده"/>
    <x v="7"/>
    <x v="1"/>
    <s v="فردى"/>
    <s v="كوين "/>
    <n v="160"/>
    <x v="7"/>
    <s v="ابيض"/>
    <m/>
    <n v="6000"/>
    <s v="كاش"/>
    <d v="2024-11-22T00:00:00"/>
    <d v="2024-12-02T00:00:00"/>
    <d v="2024-11-27T00:00:00"/>
    <n v="10"/>
    <n v="5"/>
    <s v="تم التسليم محمود على "/>
    <x v="0"/>
    <x v="0"/>
  </r>
  <r>
    <s v="مريم عنان"/>
    <x v="0"/>
    <x v="2"/>
    <s v="اب تاون كايرو التجمع "/>
    <x v="2"/>
    <x v="1"/>
    <s v="دورين"/>
    <s v="كينج"/>
    <m/>
    <x v="3"/>
    <m/>
    <m/>
    <n v="10445"/>
    <s v="كاش"/>
    <d v="2024-12-09T00:00:00"/>
    <d v="2024-12-31T00:00:00"/>
    <d v="2024-12-12T00:00:00"/>
    <n v="22"/>
    <n v="3"/>
    <s v="تم التسليم محمود على "/>
    <x v="0"/>
    <x v="0"/>
  </r>
  <r>
    <s v="ساندرا"/>
    <x v="0"/>
    <x v="0"/>
    <s v="الغردقه "/>
    <x v="0"/>
    <x v="0"/>
    <m/>
    <m/>
    <m/>
    <x v="0"/>
    <m/>
    <s v="ترابيزه قهوه متحركه "/>
    <n v="8642"/>
    <s v="مسبق الدفع"/>
    <d v="2024-08-25T00:00:00"/>
    <d v="2024-09-07T00:00:00"/>
    <d v="2024-08-27T00:00:00"/>
    <n v="13"/>
    <n v="2"/>
    <s v="تم التسليم عن طريق شركه شحن "/>
    <x v="0"/>
    <x v="0"/>
  </r>
  <r>
    <s v="احمد "/>
    <x v="0"/>
    <x v="2"/>
    <s v="التجمع الخامس"/>
    <x v="7"/>
    <x v="2"/>
    <s v="4*1"/>
    <m/>
    <m/>
    <x v="5"/>
    <m/>
    <s v="كنبه سرير رمادى "/>
    <n v="12000"/>
    <s v="كاش"/>
    <d v="2024-08-17T00:00:00"/>
    <d v="2024-08-20T00:00:00"/>
    <d v="2024-08-19T00:00:00"/>
    <n v="3"/>
    <n v="2"/>
    <s v="تم التسليم عن طريق شركه شحن "/>
    <x v="0"/>
    <x v="0"/>
  </r>
  <r>
    <s v="تاكى "/>
    <x v="1"/>
    <x v="2"/>
    <s v="العباسيه "/>
    <x v="1"/>
    <x v="2"/>
    <s v="t1"/>
    <s v="t1"/>
    <m/>
    <x v="0"/>
    <m/>
    <m/>
    <n v="6000"/>
    <s v="كاش"/>
    <d v="2024-11-19T00:00:00"/>
    <d v="2024-12-05T00:00:00"/>
    <d v="2024-11-20T00:00:00"/>
    <n v="16"/>
    <n v="1"/>
    <s v="تم التسليم م محمد "/>
    <x v="0"/>
    <x v="0"/>
  </r>
  <r>
    <s v="سعيد"/>
    <x v="0"/>
    <x v="9"/>
    <s v="سيدى عبد الرحمن - الساحل الشمالى "/>
    <x v="0"/>
    <x v="1"/>
    <s v="دورين"/>
    <s v="كيفنج"/>
    <n v="90"/>
    <x v="8"/>
    <m/>
    <s v="سرير كيفينج مقاس 90 لون ازرق "/>
    <n v="11455"/>
    <s v="كاش"/>
    <d v="2024-07-27T00:00:00"/>
    <m/>
    <m/>
    <n v="0"/>
    <n v="0"/>
    <s v="فشل التسليم "/>
    <x v="2"/>
    <x v="2"/>
  </r>
  <r>
    <s v="زينا "/>
    <x v="0"/>
    <x v="9"/>
    <s v="سيدى عبد الرحمن - الساحل الشمالى "/>
    <x v="0"/>
    <x v="1"/>
    <s v="دورين"/>
    <s v="نوفال"/>
    <n v="100"/>
    <x v="5"/>
    <m/>
    <s v="سرير نوفال متر رمادى "/>
    <n v="12833"/>
    <s v="كاش"/>
    <d v="2024-08-16T00:00:00"/>
    <d v="2024-08-31T00:00:00"/>
    <m/>
    <n v="15"/>
    <n v="0"/>
    <s v="فشل التسليم "/>
    <x v="2"/>
    <x v="0"/>
  </r>
  <r>
    <s v="تاكى "/>
    <x v="1"/>
    <x v="2"/>
    <s v="العباسيه"/>
    <x v="1"/>
    <x v="2"/>
    <s v="سحارة"/>
    <m/>
    <m/>
    <x v="0"/>
    <m/>
    <s v="٢ كنبه سحاره بمخدع"/>
    <n v="16000"/>
    <s v="كاش"/>
    <m/>
    <m/>
    <m/>
    <n v="0"/>
    <n v="0"/>
    <s v="فشل التسليم "/>
    <x v="2"/>
    <x v="2"/>
  </r>
  <r>
    <s v="احمد فخرى "/>
    <x v="0"/>
    <x v="3"/>
    <s v="٦ اكتوبر الجيزه "/>
    <x v="0"/>
    <x v="1"/>
    <s v="فردى"/>
    <s v="نوفال"/>
    <n v="80"/>
    <x v="4"/>
    <m/>
    <s v="سرير فردى خشب موسكى الحديد ابيض مقاس ٨٠"/>
    <n v="7295"/>
    <s v="كاش"/>
    <d v="2024-09-05T00:00:00"/>
    <d v="2024-09-14T00:00:00"/>
    <m/>
    <n v="9"/>
    <n v="0"/>
    <m/>
    <x v="2"/>
    <x v="0"/>
  </r>
  <r>
    <s v="ellho elkafy"/>
    <x v="0"/>
    <x v="2"/>
    <s v="مدينه نصر "/>
    <x v="0"/>
    <x v="1"/>
    <s v="دورين"/>
    <s v="كينج"/>
    <n v="80"/>
    <x v="4"/>
    <m/>
    <s v="سرير كينج ابيض مقاس ٨٠ التصميم الجديد "/>
    <n v="11199"/>
    <s v="كاش"/>
    <d v="2024-09-04T00:00:00"/>
    <d v="2024-09-18T00:00:00"/>
    <m/>
    <n v="14"/>
    <n v="0"/>
    <m/>
    <x v="2"/>
    <x v="0"/>
  </r>
  <r>
    <s v="صفاء"/>
    <x v="0"/>
    <x v="2"/>
    <s v="المعادى"/>
    <x v="0"/>
    <x v="0"/>
    <s v="2 ميكانزم"/>
    <m/>
    <m/>
    <x v="0"/>
    <m/>
    <s v="ترابيزه قهوه علويه جديده "/>
    <n v="8849"/>
    <s v="مسبق الدفع"/>
    <d v="2024-09-03T00:00:00"/>
    <d v="2024-10-16T00:00:00"/>
    <m/>
    <n v="43"/>
    <n v="0"/>
    <m/>
    <x v="2"/>
    <x v="0"/>
  </r>
  <r>
    <s v="صفاء الحكيم"/>
    <x v="0"/>
    <x v="0"/>
    <s v="العين السخنه"/>
    <x v="0"/>
    <x v="1"/>
    <s v="منطبق"/>
    <m/>
    <m/>
    <x v="3"/>
    <s v="اسود"/>
    <s v="سرير منطببق اسود وقماش اسود"/>
    <n v="9399"/>
    <s v="مسبق الدفع"/>
    <d v="2024-09-14T00:00:00"/>
    <d v="2024-09-22T00:00:00"/>
    <m/>
    <n v="8"/>
    <n v="0"/>
    <s v="فشل التسليم "/>
    <x v="2"/>
    <x v="0"/>
  </r>
  <r>
    <s v="رنا "/>
    <x v="0"/>
    <x v="2"/>
    <s v="القطاميه "/>
    <x v="0"/>
    <x v="0"/>
    <s v="2 ميكانزم"/>
    <m/>
    <m/>
    <x v="0"/>
    <m/>
    <s v="ترابيزه قهوه علويه جديده "/>
    <n v="7849"/>
    <s v="كاش"/>
    <d v="2024-09-12T00:00:00"/>
    <d v="2024-09-26T00:00:00"/>
    <m/>
    <n v="14"/>
    <n v="0"/>
    <s v="تم التسليم عن طريق شركه شحن "/>
    <x v="0"/>
    <x v="0"/>
  </r>
  <r>
    <s v="عبير نور الدين"/>
    <x v="0"/>
    <x v="3"/>
    <s v="١٨ شارع البحيري بولاق الدكرور الجيزه "/>
    <x v="7"/>
    <x v="1"/>
    <s v="ثلاثه ادوار"/>
    <s v="كيفنج"/>
    <n v="100"/>
    <x v="3"/>
    <m/>
    <s v="سرير ٣ ادورا اسود مقاس ١٠٠ "/>
    <n v="9450"/>
    <s v="كاش"/>
    <d v="2024-09-12T00:00:00"/>
    <d v="2024-09-26T00:00:00"/>
    <m/>
    <n v="14"/>
    <n v="0"/>
    <m/>
    <x v="2"/>
    <x v="0"/>
  </r>
  <r>
    <s v="على السيد "/>
    <x v="0"/>
    <x v="2"/>
    <s v="الشروق القاهره "/>
    <x v="0"/>
    <x v="1"/>
    <s v="دورين"/>
    <s v="نوفال"/>
    <n v="90"/>
    <x v="3"/>
    <m/>
    <s v="سرير نوفال  ٩٠ اسود "/>
    <n v="5999"/>
    <s v="مسبق الدفع"/>
    <d v="2024-09-12T00:00:00"/>
    <d v="2024-09-29T00:00:00"/>
    <m/>
    <n v="17"/>
    <n v="0"/>
    <m/>
    <x v="2"/>
    <x v="0"/>
  </r>
  <r>
    <s v="هبه عبد الفتاح "/>
    <x v="0"/>
    <x v="2"/>
    <s v="القاهره الجديده "/>
    <x v="0"/>
    <x v="2"/>
    <s v="4*1"/>
    <m/>
    <m/>
    <x v="3"/>
    <s v="رمادى"/>
    <s v="كنبه سرير ٤ حركه "/>
    <n v="21999"/>
    <s v="مسبق الدفع"/>
    <d v="2024-09-13T00:00:00"/>
    <d v="2024-09-30T00:00:00"/>
    <m/>
    <n v="17"/>
    <n v="0"/>
    <s v="تم التسليم محمود على "/>
    <x v="0"/>
    <x v="0"/>
  </r>
  <r>
    <s v="احمد خالد "/>
    <x v="0"/>
    <x v="2"/>
    <s v="الرحاب"/>
    <x v="0"/>
    <x v="1"/>
    <s v="فردى"/>
    <s v="فورجينا"/>
    <n v="120"/>
    <x v="4"/>
    <m/>
    <s v=" ٢. سرير فورجينا ابيض مقاس ١٢٠"/>
    <n v="17886"/>
    <s v="مسبق الدفع"/>
    <d v="2024-09-14T00:00:00"/>
    <d v="2024-10-29T00:00:00"/>
    <m/>
    <n v="45"/>
    <n v="0"/>
    <m/>
    <x v="2"/>
    <x v="0"/>
  </r>
  <r>
    <s v="حسام عبدون"/>
    <x v="0"/>
    <x v="0"/>
    <s v="الغردقه"/>
    <x v="0"/>
    <x v="2"/>
    <s v="4*1"/>
    <m/>
    <m/>
    <x v="3"/>
    <s v="رمادى"/>
    <s v="كنبه سرير ٤ حركه "/>
    <n v="21999"/>
    <s v="مسبق الدفع"/>
    <d v="2024-09-14T00:00:00"/>
    <d v="2024-11-20T00:00:00"/>
    <m/>
    <n v="67"/>
    <n v="0"/>
    <m/>
    <x v="2"/>
    <x v="0"/>
  </r>
  <r>
    <s v="عبد الرحمن يسري"/>
    <x v="0"/>
    <x v="3"/>
    <s v="اكتوبر الجيزه"/>
    <x v="0"/>
    <x v="0"/>
    <s v="رف سحاب"/>
    <m/>
    <m/>
    <x v="0"/>
    <m/>
    <m/>
    <n v="8349"/>
    <s v="كاش"/>
    <d v="2024-09-26T00:00:00"/>
    <d v="2024-11-10T00:00:00"/>
    <m/>
    <n v="45"/>
    <n v="0"/>
    <m/>
    <x v="2"/>
    <x v="0"/>
  </r>
  <r>
    <s v="شيك هومز "/>
    <x v="1"/>
    <x v="6"/>
    <m/>
    <x v="2"/>
    <x v="1"/>
    <s v="دورين"/>
    <s v="كينج"/>
    <n v="100"/>
    <x v="3"/>
    <m/>
    <m/>
    <n v="9208"/>
    <s v="كاش"/>
    <d v="2024-09-26T00:00:00"/>
    <d v="2024-10-14T00:00:00"/>
    <m/>
    <n v="18"/>
    <n v="0"/>
    <m/>
    <x v="2"/>
    <x v="0"/>
  </r>
  <r>
    <s v="عمرو الأسود"/>
    <x v="0"/>
    <x v="2"/>
    <s v="الزمالك"/>
    <x v="0"/>
    <x v="1"/>
    <s v="منطبق"/>
    <m/>
    <m/>
    <x v="3"/>
    <s v="اسود"/>
    <m/>
    <n v="8899"/>
    <s v="كاش"/>
    <d v="2024-10-03T00:00:00"/>
    <d v="2024-11-17T00:00:00"/>
    <m/>
    <n v="45"/>
    <n v="0"/>
    <m/>
    <x v="2"/>
    <x v="0"/>
  </r>
  <r>
    <s v="اوسكار راتن"/>
    <x v="1"/>
    <x v="2"/>
    <s v="المعرض مدينه نصر"/>
    <x v="4"/>
    <x v="1"/>
    <s v="دورين"/>
    <s v="فانتستيك"/>
    <n v="100"/>
    <x v="0"/>
    <m/>
    <m/>
    <n v="8544.91"/>
    <s v="حساب شركه"/>
    <d v="2024-10-22T00:00:00"/>
    <m/>
    <m/>
    <n v="0"/>
    <n v="0"/>
    <m/>
    <x v="2"/>
    <x v="2"/>
  </r>
  <r>
    <s v="شيك هومز "/>
    <x v="1"/>
    <x v="6"/>
    <m/>
    <x v="2"/>
    <x v="1"/>
    <s v="دورين"/>
    <s v="كينج"/>
    <n v="100"/>
    <x v="3"/>
    <m/>
    <m/>
    <n v="10045"/>
    <s v="كاش"/>
    <d v="2024-10-26T00:00:00"/>
    <d v="2024-11-16T00:00:00"/>
    <m/>
    <n v="21"/>
    <n v="0"/>
    <m/>
    <x v="2"/>
    <x v="0"/>
  </r>
  <r>
    <s v="تاكى "/>
    <x v="1"/>
    <x v="2"/>
    <s v="العباسيه "/>
    <x v="1"/>
    <x v="1"/>
    <s v="فردى "/>
    <s v="امريكى"/>
    <n v="160"/>
    <x v="3"/>
    <m/>
    <m/>
    <n v="5100"/>
    <s v="حساب شركه"/>
    <d v="2024-11-14T00:00:00"/>
    <d v="2024-12-08T00:00:00"/>
    <m/>
    <n v="24"/>
    <n v="0"/>
    <m/>
    <x v="2"/>
    <x v="0"/>
  </r>
  <r>
    <s v="احمد عبد الستار"/>
    <x v="0"/>
    <x v="1"/>
    <s v="المندره اسكندريه"/>
    <x v="0"/>
    <x v="1"/>
    <s v="دورين"/>
    <s v="كيفنج"/>
    <n v="100"/>
    <x v="3"/>
    <m/>
    <m/>
    <n v="14905"/>
    <s v="مسبق الدفع"/>
    <d v="2024-11-29T00:00:00"/>
    <d v="2024-12-15T00:00:00"/>
    <m/>
    <n v="16"/>
    <n v="0"/>
    <s v="العميل رفض الاستلام"/>
    <x v="2"/>
    <x v="0"/>
  </r>
  <r>
    <s v="نور "/>
    <x v="0"/>
    <x v="2"/>
    <s v="القاهره الجديده"/>
    <x v="0"/>
    <x v="0"/>
    <s v="دوران "/>
    <s v="ميكانزم"/>
    <m/>
    <x v="3"/>
    <s v="بنى غامق"/>
    <m/>
    <n v="10249"/>
    <s v="مسبق الدفع"/>
    <d v="2024-11-30T00:00:00"/>
    <d v="2024-12-12T00:00:00"/>
    <m/>
    <n v="12"/>
    <n v="0"/>
    <m/>
    <x v="2"/>
    <x v="0"/>
  </r>
  <r>
    <s v="نور"/>
    <x v="0"/>
    <x v="2"/>
    <s v="القاهره الجديده"/>
    <x v="0"/>
    <x v="0"/>
    <s v="رف سحاب"/>
    <m/>
    <m/>
    <x v="3"/>
    <s v="بنى غامق "/>
    <m/>
    <n v="9029"/>
    <s v="مسبق الدفع"/>
    <d v="2024-11-30T00:00:00"/>
    <d v="2024-12-12T00:00:00"/>
    <m/>
    <n v="12"/>
    <n v="0"/>
    <m/>
    <x v="2"/>
    <x v="0"/>
  </r>
  <r>
    <s v="تامر"/>
    <x v="0"/>
    <x v="0"/>
    <s v="العين السخنه"/>
    <x v="0"/>
    <x v="0"/>
    <s v="٢ ميكانزم"/>
    <m/>
    <m/>
    <x v="3"/>
    <s v="بيج "/>
    <m/>
    <n v="9029"/>
    <s v="مسبق الدفع"/>
    <d v="2024-11-30T00:00:00"/>
    <d v="2024-12-12T00:00:00"/>
    <m/>
    <n v="12"/>
    <n v="0"/>
    <m/>
    <x v="2"/>
    <x v="0"/>
  </r>
  <r>
    <s v="هناء اسامه"/>
    <x v="0"/>
    <x v="2"/>
    <s v="القطاميه"/>
    <x v="0"/>
    <x v="1"/>
    <s v="دورين "/>
    <s v="نوفال"/>
    <n v="80"/>
    <x v="4"/>
    <m/>
    <m/>
    <n v="12099"/>
    <s v="مسبق الدفع"/>
    <d v="2024-12-02T00:00:00"/>
    <d v="2024-12-17T00:00:00"/>
    <m/>
    <n v="15"/>
    <n v="0"/>
    <m/>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150B3E-D381-480B-AA72-2D306B375D5B}" name="PivotTable7"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G8:AH11" firstHeaderRow="1" firstDataRow="1" firstDataCol="1"/>
  <pivotFields count="22">
    <pivotField showAll="0"/>
    <pivotField showAll="0">
      <items count="3">
        <item x="0"/>
        <item x="1"/>
        <item t="default"/>
      </items>
    </pivotField>
    <pivotField showAll="0">
      <items count="11">
        <item x="7"/>
        <item x="5"/>
        <item x="1"/>
        <item x="0"/>
        <item x="3"/>
        <item x="9"/>
        <item x="8"/>
        <item x="2"/>
        <item x="4"/>
        <item h="1"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numFmtId="1" showAll="0"/>
    <pivotField showAll="0"/>
    <pivotField showAll="0"/>
    <pivotField axis="axisRow" dataField="1" multipleItemSelectionAllowed="1" showAll="0">
      <items count="6">
        <item m="1" x="3"/>
        <item m="1" x="4"/>
        <item x="0"/>
        <item x="1"/>
        <item h="1" x="2"/>
        <item t="default"/>
      </items>
    </pivotField>
  </pivotFields>
  <rowFields count="1">
    <field x="21"/>
  </rowFields>
  <rowItems count="3">
    <i>
      <x v="2"/>
    </i>
    <i>
      <x v="3"/>
    </i>
    <i t="grand">
      <x/>
    </i>
  </rowItems>
  <colItems count="1">
    <i/>
  </colItems>
  <dataFields count="1">
    <dataField name="Count of التسليم ف الموعد" fld="21" subtotal="count" showDataAs="percentOfTotal" baseField="21" baseItem="0" numFmtId="10"/>
  </dataFields>
  <formats count="3">
    <format dxfId="14">
      <pivotArea collapsedLevelsAreSubtotals="1" fieldPosition="0">
        <references count="1">
          <reference field="21" count="1">
            <x v="1"/>
          </reference>
        </references>
      </pivotArea>
    </format>
    <format dxfId="13">
      <pivotArea collapsedLevelsAreSubtotals="1" fieldPosition="0">
        <references count="1">
          <reference field="21" count="1">
            <x v="0"/>
          </reference>
        </references>
      </pivotArea>
    </format>
    <format dxfId="12">
      <pivotArea collapsedLevelsAreSubtotals="1" fieldPosition="0">
        <references count="1">
          <reference field="21" count="2">
            <x v="2"/>
            <x v="3"/>
          </reference>
        </references>
      </pivotArea>
    </format>
  </format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21" count="1" selected="0">
            <x v="2"/>
          </reference>
        </references>
      </pivotArea>
    </chartFormat>
    <chartFormat chart="3" format="6">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643159-4DEB-4BF7-A79C-0637FF2884BF}"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R6:S15" firstHeaderRow="1" firstDataRow="1" firstDataCol="1"/>
  <pivotFields count="22">
    <pivotField showAll="0"/>
    <pivotField showAll="0">
      <items count="3">
        <item x="0"/>
        <item x="1"/>
        <item t="default"/>
      </items>
    </pivotField>
    <pivotField showAll="0">
      <items count="11">
        <item x="7"/>
        <item x="5"/>
        <item x="1"/>
        <item x="0"/>
        <item x="3"/>
        <item x="9"/>
        <item x="8"/>
        <item x="2"/>
        <item x="4"/>
        <item h="1" x="6"/>
        <item t="default"/>
      </items>
    </pivotField>
    <pivotField showAll="0"/>
    <pivotField axis="axisRow" showAll="0">
      <items count="13">
        <item x="6"/>
        <item x="4"/>
        <item x="1"/>
        <item m="1" x="10"/>
        <item x="2"/>
        <item m="1" x="8"/>
        <item x="7"/>
        <item x="5"/>
        <item m="1" x="9"/>
        <item x="3"/>
        <item x="0"/>
        <item m="1" x="11"/>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numFmtId="1" showAll="0"/>
    <pivotField numFmtId="1" showAll="0"/>
    <pivotField showAll="0"/>
    <pivotField multipleItemSelectionAllowed="1" showAll="0"/>
    <pivotField showAll="0"/>
  </pivotFields>
  <rowFields count="1">
    <field x="4"/>
  </rowFields>
  <rowItems count="9">
    <i>
      <x/>
    </i>
    <i>
      <x v="1"/>
    </i>
    <i>
      <x v="2"/>
    </i>
    <i>
      <x v="4"/>
    </i>
    <i>
      <x v="6"/>
    </i>
    <i>
      <x v="7"/>
    </i>
    <i>
      <x v="9"/>
    </i>
    <i>
      <x v="10"/>
    </i>
    <i t="grand">
      <x/>
    </i>
  </rowItems>
  <colItems count="1">
    <i/>
  </colItems>
  <dataFields count="1">
    <dataField name="Count of الصنف" fld="5"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8B50A6-F539-4C7A-BFDD-0EF8FF7D4113}" name="PivotTable8"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L8:AM12" firstHeaderRow="1" firstDataRow="1" firstDataCol="1"/>
  <pivotFields count="22">
    <pivotField showAll="0"/>
    <pivotField showAll="0">
      <items count="3">
        <item x="0"/>
        <item x="1"/>
        <item t="default"/>
      </items>
    </pivotField>
    <pivotField showAll="0">
      <items count="11">
        <item x="7"/>
        <item x="5"/>
        <item x="1"/>
        <item x="0"/>
        <item x="3"/>
        <item x="9"/>
        <item x="8"/>
        <item x="2"/>
        <item x="4"/>
        <item h="1"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numFmtId="1" showAll="0"/>
    <pivotField showAll="0"/>
    <pivotField axis="axisRow" dataField="1" showAll="0">
      <items count="5">
        <item x="0"/>
        <item m="1" x="3"/>
        <item x="1"/>
        <item x="2"/>
        <item t="default"/>
      </items>
    </pivotField>
    <pivotField showAll="0"/>
  </pivotFields>
  <rowFields count="1">
    <field x="20"/>
  </rowFields>
  <rowItems count="4">
    <i>
      <x/>
    </i>
    <i>
      <x v="2"/>
    </i>
    <i>
      <x v="3"/>
    </i>
    <i t="grand">
      <x/>
    </i>
  </rowItems>
  <colItems count="1">
    <i/>
  </colItems>
  <dataFields count="1">
    <dataField name="Count of الحالة" fld="20" subtotal="count" showDataAs="percentOfTotal" baseField="20" baseItem="0" numFmtId="10"/>
  </dataFields>
  <formats count="1">
    <format dxfId="15">
      <pivotArea collapsedLevelsAreSubtotals="1" fieldPosition="0">
        <references count="1">
          <reference field="20" count="0"/>
        </references>
      </pivotArea>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20" count="1" selected="0">
            <x v="0"/>
          </reference>
        </references>
      </pivotArea>
    </chartFormat>
    <chartFormat chart="3" format="7">
      <pivotArea type="data" outline="0" fieldPosition="0">
        <references count="2">
          <reference field="4294967294" count="1" selected="0">
            <x v="0"/>
          </reference>
          <reference field="20" count="1" selected="0">
            <x v="2"/>
          </reference>
        </references>
      </pivotArea>
    </chartFormat>
    <chartFormat chart="3" format="8">
      <pivotArea type="data" outline="0" fieldPosition="0">
        <references count="2">
          <reference field="4294967294" count="1" selected="0">
            <x v="0"/>
          </reference>
          <reference field="2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03AC1D-CC73-4DA6-A8FE-834713BF16C0}"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6:M7" firstHeaderRow="1" firstDataRow="1" firstDataCol="0"/>
  <pivotFields count="22">
    <pivotField showAll="0"/>
    <pivotField showAll="0">
      <items count="3">
        <item x="0"/>
        <item x="1"/>
        <item t="default"/>
      </items>
    </pivotField>
    <pivotField showAll="0">
      <items count="11">
        <item x="7"/>
        <item x="5"/>
        <item x="1"/>
        <item x="0"/>
        <item x="3"/>
        <item x="9"/>
        <item x="8"/>
        <item x="2"/>
        <item x="4"/>
        <item h="1" x="6"/>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numFmtId="1" showAll="0"/>
    <pivotField numFmtId="1" showAll="0"/>
    <pivotField showAll="0"/>
    <pivotField showAll="0"/>
    <pivotField showAll="0"/>
  </pivotFields>
  <rowItems count="1">
    <i/>
  </rowItems>
  <colItems count="1">
    <i/>
  </colItems>
  <dataFields count="1">
    <dataField name="Average of سعر البيع " fld="12" subtotal="average" baseField="0" baseItem="0" numFmtId="164"/>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23B6C6-391F-4A64-950D-67D673C04041}" name="PivotTable6"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B7:AC16" firstHeaderRow="1" firstDataRow="1" firstDataCol="1"/>
  <pivotFields count="22">
    <pivotField showAll="0"/>
    <pivotField showAll="0">
      <items count="3">
        <item x="0"/>
        <item x="1"/>
        <item t="default"/>
      </items>
    </pivotField>
    <pivotField showAll="0">
      <items count="11">
        <item x="7"/>
        <item x="5"/>
        <item x="1"/>
        <item x="0"/>
        <item x="3"/>
        <item x="9"/>
        <item x="8"/>
        <item x="2"/>
        <item x="4"/>
        <item h="1" x="6"/>
        <item t="default"/>
      </items>
    </pivotField>
    <pivotField showAll="0"/>
    <pivotField showAll="0"/>
    <pivotField showAll="0"/>
    <pivotField showAll="0"/>
    <pivotField showAll="0"/>
    <pivotField showAll="0"/>
    <pivotField axis="axisRow" multipleItemSelectionAllowed="1" showAll="0" sortType="descending">
      <items count="16">
        <item x="4"/>
        <item x="8"/>
        <item m="1" x="14"/>
        <item m="1" x="9"/>
        <item m="1" x="10"/>
        <item m="1" x="12"/>
        <item m="1" x="11"/>
        <item x="2"/>
        <item x="1"/>
        <item x="7"/>
        <item x="5"/>
        <item m="1" x="13"/>
        <item x="6"/>
        <item h="1"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1" showAll="0"/>
    <pivotField numFmtId="1" showAll="0"/>
    <pivotField showAll="0"/>
    <pivotField dataField="1" showAll="0"/>
    <pivotField showAll="0"/>
  </pivotFields>
  <rowFields count="1">
    <field x="9"/>
  </rowFields>
  <rowItems count="9">
    <i>
      <x v="14"/>
    </i>
    <i>
      <x/>
    </i>
    <i>
      <x v="10"/>
    </i>
    <i>
      <x v="1"/>
    </i>
    <i>
      <x v="9"/>
    </i>
    <i>
      <x v="7"/>
    </i>
    <i>
      <x v="8"/>
    </i>
    <i>
      <x v="12"/>
    </i>
    <i t="grand">
      <x/>
    </i>
  </rowItems>
  <colItems count="1">
    <i/>
  </colItems>
  <dataFields count="1">
    <dataField name="Count of الحالة" fld="20" subtotal="count"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DAFFB5B-BD72-4F7E-8F2E-05A496E8DED6}"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7:G8" firstHeaderRow="1" firstDataRow="1" firstDataCol="0"/>
  <pivotFields count="22">
    <pivotField showAll="0"/>
    <pivotField showAll="0">
      <items count="3">
        <item x="0"/>
        <item x="1"/>
        <item t="default"/>
      </items>
    </pivotField>
    <pivotField showAll="0">
      <items count="11">
        <item x="7"/>
        <item x="5"/>
        <item x="1"/>
        <item x="0"/>
        <item x="3"/>
        <item x="9"/>
        <item x="8"/>
        <item x="2"/>
        <item x="4"/>
        <item h="1" x="6"/>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 showAll="0"/>
    <pivotField numFmtId="1" showAll="0"/>
    <pivotField showAll="0"/>
    <pivotField showAll="0"/>
    <pivotField showAll="0"/>
  </pivotFields>
  <rowItems count="1">
    <i/>
  </rowItems>
  <colItems count="1">
    <i/>
  </colItems>
  <dataFields count="1">
    <dataField name="Count of المنتج"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FB57133-AC47-45BA-8DE8-652FA31E85AC}"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B7" firstHeaderRow="1" firstDataRow="1" firstDataCol="0"/>
  <pivotFields count="22">
    <pivotField showAll="0"/>
    <pivotField showAll="0">
      <items count="3">
        <item x="0"/>
        <item x="1"/>
        <item t="default"/>
      </items>
    </pivotField>
    <pivotField showAll="0">
      <items count="11">
        <item x="7"/>
        <item x="5"/>
        <item x="1"/>
        <item x="0"/>
        <item x="3"/>
        <item x="9"/>
        <item x="8"/>
        <item x="2"/>
        <item x="4"/>
        <item h="1" x="6"/>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numFmtId="1" showAll="0"/>
    <pivotField numFmtId="1" showAll="0"/>
    <pivotField showAll="0"/>
    <pivotField multipleItemSelectionAllowed="1" showAll="0"/>
    <pivotField showAll="0"/>
  </pivotFields>
  <rowItems count="1">
    <i/>
  </rowItems>
  <colItems count="1">
    <i/>
  </colItems>
  <dataFields count="1">
    <dataField name="Sum of سعر البيع " fld="12" baseField="0" baseItem="0" numFmtId="164"/>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64DED76-6408-4FF5-B9FB-04877127F22D}"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W9:X16" firstHeaderRow="1" firstDataRow="1" firstDataCol="1"/>
  <pivotFields count="22">
    <pivotField showAll="0"/>
    <pivotField showAll="0">
      <items count="3">
        <item x="0"/>
        <item x="1"/>
        <item t="default"/>
      </items>
    </pivotField>
    <pivotField showAll="0">
      <items count="11">
        <item x="7"/>
        <item x="5"/>
        <item x="1"/>
        <item x="0"/>
        <item x="3"/>
        <item x="9"/>
        <item x="8"/>
        <item x="2"/>
        <item x="4"/>
        <item h="1" x="6"/>
        <item t="default"/>
      </items>
    </pivotField>
    <pivotField showAll="0"/>
    <pivotField showAll="0"/>
    <pivotField axis="axisRow" showAll="0" sortType="descending">
      <items count="13">
        <item x="0"/>
        <item m="1" x="11"/>
        <item m="1" x="7"/>
        <item x="3"/>
        <item x="1"/>
        <item m="1" x="6"/>
        <item x="5"/>
        <item x="4"/>
        <item x="2"/>
        <item m="1" x="9"/>
        <item m="1" x="10"/>
        <item m="1"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numFmtId="1" showAll="0"/>
    <pivotField numFmtId="1" showAll="0"/>
    <pivotField showAll="0"/>
    <pivotField dataField="1" showAll="0"/>
    <pivotField showAll="0"/>
  </pivotFields>
  <rowFields count="1">
    <field x="5"/>
  </rowFields>
  <rowItems count="7">
    <i>
      <x v="4"/>
    </i>
    <i>
      <x/>
    </i>
    <i>
      <x v="8"/>
    </i>
    <i>
      <x v="7"/>
    </i>
    <i>
      <x v="3"/>
    </i>
    <i>
      <x v="6"/>
    </i>
    <i t="grand">
      <x/>
    </i>
  </rowItems>
  <colItems count="1">
    <i/>
  </colItems>
  <dataFields count="1">
    <dataField name="Count of الحالة" fld="20" subtotal="count" baseField="0" baseItem="0"/>
  </dataFields>
  <chartFormats count="4">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5" count="1" selected="0">
            <x v="4"/>
          </reference>
        </references>
      </pivotArea>
    </chartFormat>
    <chartFormat chart="6" format="4">
      <pivotArea type="data" outline="0" fieldPosition="0">
        <references count="2">
          <reference field="4294967294" count="1" selected="0">
            <x v="0"/>
          </reference>
          <reference field="5" count="1" selected="0">
            <x v="0"/>
          </reference>
        </references>
      </pivotArea>
    </chartFormat>
    <chartFormat chart="6" format="5">
      <pivotArea type="data" outline="0" fieldPosition="0">
        <references count="2">
          <reference field="4294967294" count="1" selected="0">
            <x v="0"/>
          </reference>
          <reference field="5"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518D2D9-AD89-4BBA-A720-59E7E2414AD3}" name="PivotTable9"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Q10:AR20" firstHeaderRow="1" firstDataRow="1" firstDataCol="1"/>
  <pivotFields count="22">
    <pivotField showAll="0"/>
    <pivotField showAll="0">
      <items count="3">
        <item x="0"/>
        <item x="1"/>
        <item t="default"/>
      </items>
    </pivotField>
    <pivotField axis="axisRow" multipleItemSelectionAllowed="1" showAll="0" sortType="descending">
      <items count="11">
        <item x="7"/>
        <item x="5"/>
        <item x="1"/>
        <item x="0"/>
        <item x="3"/>
        <item x="9"/>
        <item x="8"/>
        <item x="2"/>
        <item x="4"/>
        <item h="1"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numFmtId="1" showAll="0"/>
    <pivotField showAll="0"/>
    <pivotField dataField="1" showAll="0"/>
    <pivotField showAll="0"/>
  </pivotFields>
  <rowFields count="1">
    <field x="2"/>
  </rowFields>
  <rowItems count="10">
    <i>
      <x v="7"/>
    </i>
    <i>
      <x v="4"/>
    </i>
    <i>
      <x v="3"/>
    </i>
    <i>
      <x v="8"/>
    </i>
    <i>
      <x v="6"/>
    </i>
    <i>
      <x v="2"/>
    </i>
    <i>
      <x v="5"/>
    </i>
    <i>
      <x/>
    </i>
    <i>
      <x v="1"/>
    </i>
    <i t="grand">
      <x/>
    </i>
  </rowItems>
  <colItems count="1">
    <i/>
  </colItems>
  <dataFields count="1">
    <dataField name="Count of الحالة" fld="20" subtotal="count"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نوع_العميل" xr10:uid="{F596A8AF-ACE9-4776-8630-88FE6ED3AB78}" sourceName="نوع العميل">
  <pivotTables>
    <pivotTable tabId="6" name="PivotTable7"/>
    <pivotTable tabId="6" name="PivotTable1"/>
    <pivotTable tabId="6" name="PivotTable2"/>
    <pivotTable tabId="6" name="PivotTable3"/>
    <pivotTable tabId="6" name="PivotTable4"/>
    <pivotTable tabId="6" name="PivotTable5"/>
    <pivotTable tabId="6" name="PivotTable6"/>
    <pivotTable tabId="6" name="PivotTable8"/>
    <pivotTable tabId="6" name="PivotTable9"/>
  </pivotTables>
  <data>
    <tabular pivotCacheId="89020525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حافظه" xr10:uid="{0FCF2339-8532-4ADC-8E32-5DAD5BC4B4B8}" sourceName="المحافظه">
  <pivotTables>
    <pivotTable tabId="6" name="PivotTable7"/>
    <pivotTable tabId="6" name="PivotTable1"/>
    <pivotTable tabId="6" name="PivotTable2"/>
    <pivotTable tabId="6" name="PivotTable3"/>
    <pivotTable tabId="6" name="PivotTable4"/>
    <pivotTable tabId="6" name="PivotTable5"/>
    <pivotTable tabId="6" name="PivotTable6"/>
    <pivotTable tabId="6" name="PivotTable8"/>
    <pivotTable tabId="6" name="PivotTable9"/>
  </pivotTables>
  <data>
    <tabular pivotCacheId="890205257">
      <items count="10">
        <i x="7" s="1"/>
        <i x="5" s="1"/>
        <i x="1" s="1"/>
        <i x="0" s="1"/>
        <i x="3" s="1"/>
        <i x="9" s="1"/>
        <i x="8" s="1"/>
        <i x="2" s="1"/>
        <i x="4" s="1"/>
        <i x="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نوع العميل" xr10:uid="{1FD743BF-92E3-40DA-9D06-D31AE6C1B1EA}" cache="Slicer_نوع_العميل" caption="نوع العميل" style="Slicer Style 1" rowHeight="234950"/>
  <slicer name="المحافظه" xr10:uid="{AEAFFF6A-4590-4450-A578-94AA4FF79D6A}" cache="Slicer_المحافظه" caption="المحافظه" columnCount="2"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5189D0C-06C3-40D2-9944-4A4F5F614DD9}" name="masio" displayName="masio" ref="A1:V113" totalsRowShown="0">
  <autoFilter ref="A1:V113" xr:uid="{B567BAA6-0617-47D7-951C-70A74F3F967B}"/>
  <sortState xmlns:xlrd2="http://schemas.microsoft.com/office/spreadsheetml/2017/richdata2" ref="A2:V113">
    <sortCondition descending="1" ref="S1:S126"/>
  </sortState>
  <tableColumns count="22">
    <tableColumn id="4" xr3:uid="{365698B9-0DE6-4FD2-BBDA-883E9950B42F}" name="أسم العميل"/>
    <tableColumn id="23" xr3:uid="{03850567-3CC0-457F-A973-A05DAEA357A7}" name="نوع العميل"/>
    <tableColumn id="24" xr3:uid="{FA82D889-DACC-4502-9857-E1AD4E0E7DBB}" name="المحافظه"/>
    <tableColumn id="5" xr3:uid="{B18B476D-9619-4014-A1C9-713EE76A0EDE}" name="العنوان"/>
    <tableColumn id="7" xr3:uid="{E1C8A7DB-08F9-47F3-9C41-DCB84B06A2AD}" name="منصة البيع "/>
    <tableColumn id="8" xr3:uid="{30A23926-1DB0-4F14-9B3A-C64C2947FE3A}" name="الصنف"/>
    <tableColumn id="9" xr3:uid="{5392FE29-AD91-4138-9902-D4CDB5C4B9E0}" name="نوع الصنف"/>
    <tableColumn id="10" xr3:uid="{3D196FC0-3EDD-4972-977A-21067ADB98E3}" name="اسم الصنف"/>
    <tableColumn id="11" xr3:uid="{AF5F4AA9-B2D8-4401-92CE-3D8B3DFC4551}" name="المقاس"/>
    <tableColumn id="12" xr3:uid="{FFBE0B69-D2CA-4CC8-BC9C-E086AC37A044}" name="اللون المعدن"/>
    <tableColumn id="13" xr3:uid="{2B5D1120-1B06-4899-9C97-B02F3698FA96}" name="لون القماش"/>
    <tableColumn id="14" xr3:uid="{BFFA41C4-01EB-49C0-9371-2D33982BD5F5}" name="المنتج"/>
    <tableColumn id="15" xr3:uid="{73E6B60D-41C6-44C6-878F-CE25F6030A28}" name="سعر البيع "/>
    <tableColumn id="27" xr3:uid="{CC608ACF-6614-4A64-8CDC-C23B4D036772}" name="طريقه الدفع"/>
    <tableColumn id="17" xr3:uid="{F1ABF58C-1E5D-44B1-8A50-3979F6AE6800}" name="ميعاد الطلب" dataDxfId="29" totalsRowDxfId="28"/>
    <tableColumn id="18" xr3:uid="{4F87EEF1-BDF5-49BA-8023-62B74278390D}" name="ميعاد التسليم" dataDxfId="27" totalsRowDxfId="26"/>
    <tableColumn id="19" xr3:uid="{91301D04-F054-4EA2-ADF5-50CACC44D4A6}" name="تاريخ التسليم" dataDxfId="25" totalsRowDxfId="24"/>
    <tableColumn id="29" xr3:uid="{2FA77DF0-AEE0-4DF5-867C-948C3C39E54F}" name="مده التسليم الاساسيه" dataDxfId="23" totalsRowDxfId="22">
      <calculatedColumnFormula>IF(OR(ISBLANK(masio[[#This Row],[ميعاد التسليم]]),ISBLANK(masio[[#This Row],[ميعاد الطلب]])),0,masio[[#This Row],[ميعاد التسليم]]-masio[[#This Row],[ميعاد الطلب]])</calculatedColumnFormula>
    </tableColumn>
    <tableColumn id="28" xr3:uid="{344ADF7C-0FE5-4493-AFCB-CC3367EB0560}" name="مده التسليم الفعليه" dataDxfId="21" totalsRowDxfId="20">
      <calculatedColumnFormula>IF(OR(ISBLANK(masio[[#This Row],[تاريخ التسليم]]),ISBLANK(masio[[#This Row],[ميعاد الطلب]])),0,masio[[#This Row],[تاريخ التسليم]]-masio[[#This Row],[ميعاد الطلب]])</calculatedColumnFormula>
    </tableColumn>
    <tableColumn id="20" xr3:uid="{59B6CFE8-60C7-4C29-B8C7-76CA8ABD9871}" name="المسئول عن التسليم"/>
    <tableColumn id="21" xr3:uid="{88C37093-565B-48FC-BA42-303463BC88B3}" name="الحالة"/>
    <tableColumn id="30" xr3:uid="{863985EB-7442-4491-B2B7-936F2C1B3A6E}" name="التسليم ف الموعد" dataDxfId="19" totalsRowDxfId="18">
      <calculatedColumnFormula>IF(masio[[#This Row],[مده التسليم الفعليه]]=masio[[#This Row],[مده التسليم الاساسيه]],"في الموعد","خارج الموعد")</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288B8-FD77-4759-AE13-F7336D3AC763}">
  <dimension ref="A1:V1031"/>
  <sheetViews>
    <sheetView rightToLeft="1" topLeftCell="C1" zoomScale="73" zoomScaleNormal="70" workbookViewId="0">
      <selection activeCell="L106" sqref="L106"/>
    </sheetView>
  </sheetViews>
  <sheetFormatPr defaultColWidth="8.88671875" defaultRowHeight="14.4" x14ac:dyDescent="0.3"/>
  <cols>
    <col min="1" max="1" width="15.5546875" style="1" bestFit="1" customWidth="1"/>
    <col min="2" max="2" width="10.5546875" style="1" bestFit="1" customWidth="1"/>
    <col min="3" max="3" width="11.33203125" style="1" bestFit="1" customWidth="1"/>
    <col min="4" max="4" width="30.33203125" style="1" bestFit="1" customWidth="1"/>
    <col min="5" max="5" width="11.21875" style="1" bestFit="1" customWidth="1"/>
    <col min="6" max="6" width="8.21875" style="1" bestFit="1" customWidth="1"/>
    <col min="7" max="7" width="11" style="1" bestFit="1" customWidth="1"/>
    <col min="8" max="8" width="11.44140625" style="1" bestFit="1" customWidth="1"/>
    <col min="9" max="9" width="8.21875" style="1" bestFit="1" customWidth="1"/>
    <col min="10" max="10" width="11.77734375" style="1" bestFit="1" customWidth="1"/>
    <col min="11" max="11" width="12.5546875" style="4" bestFit="1" customWidth="1"/>
    <col min="12" max="12" width="34.77734375" style="1" bestFit="1" customWidth="1"/>
    <col min="13" max="13" width="11.109375" style="1" bestFit="1" customWidth="1"/>
    <col min="14" max="14" width="11.6640625" style="1" customWidth="1"/>
    <col min="15" max="15" width="11.88671875" style="8" customWidth="1"/>
    <col min="16" max="16" width="12.5546875" style="8" customWidth="1"/>
    <col min="17" max="17" width="12.77734375" style="8" bestFit="1" customWidth="1"/>
    <col min="18" max="18" width="18.109375" style="10" bestFit="1" customWidth="1"/>
    <col min="19" max="19" width="16.5546875" style="10" bestFit="1" customWidth="1"/>
    <col min="20" max="20" width="27" style="1" bestFit="1" customWidth="1"/>
    <col min="21" max="21" width="8.21875" style="1" customWidth="1"/>
    <col min="22" max="22" width="15.77734375" style="1" bestFit="1" customWidth="1"/>
    <col min="23" max="16384" width="8.88671875" style="1"/>
  </cols>
  <sheetData>
    <row r="1" spans="1:22" ht="20.100000000000001" customHeight="1" x14ac:dyDescent="0.3">
      <c r="A1" t="s">
        <v>0</v>
      </c>
      <c r="B1" t="s">
        <v>274</v>
      </c>
      <c r="C1" t="s">
        <v>277</v>
      </c>
      <c r="D1" t="s">
        <v>1</v>
      </c>
      <c r="E1" t="s">
        <v>5</v>
      </c>
      <c r="F1" t="s">
        <v>271</v>
      </c>
      <c r="G1" t="s">
        <v>272</v>
      </c>
      <c r="H1" t="s">
        <v>273</v>
      </c>
      <c r="I1" t="s">
        <v>161</v>
      </c>
      <c r="J1" t="s">
        <v>165</v>
      </c>
      <c r="K1" t="s">
        <v>166</v>
      </c>
      <c r="L1" s="6" t="s">
        <v>2</v>
      </c>
      <c r="M1" t="s">
        <v>7</v>
      </c>
      <c r="N1" t="s">
        <v>286</v>
      </c>
      <c r="O1" s="7" t="s">
        <v>9</v>
      </c>
      <c r="P1" s="7" t="s">
        <v>8</v>
      </c>
      <c r="Q1" s="7" t="s">
        <v>3</v>
      </c>
      <c r="R1" s="9" t="s">
        <v>288</v>
      </c>
      <c r="S1" s="9" t="s">
        <v>289</v>
      </c>
      <c r="T1" t="s">
        <v>4</v>
      </c>
      <c r="U1" t="s">
        <v>174</v>
      </c>
      <c r="V1" t="s">
        <v>297</v>
      </c>
    </row>
    <row r="2" spans="1:22" ht="20.100000000000001" customHeight="1" x14ac:dyDescent="0.3">
      <c r="A2" t="s">
        <v>175</v>
      </c>
      <c r="B2" t="s">
        <v>276</v>
      </c>
      <c r="C2" t="s">
        <v>281</v>
      </c>
      <c r="D2" t="s">
        <v>134</v>
      </c>
      <c r="E2" t="s">
        <v>6</v>
      </c>
      <c r="F2" t="s">
        <v>246</v>
      </c>
      <c r="G2" t="s">
        <v>171</v>
      </c>
      <c r="H2"/>
      <c r="I2"/>
      <c r="J2"/>
      <c r="K2"/>
      <c r="L2"/>
      <c r="M2">
        <v>7849</v>
      </c>
      <c r="N2" t="s">
        <v>287</v>
      </c>
      <c r="O2" s="7">
        <v>45551</v>
      </c>
      <c r="P2" s="7">
        <v>45595</v>
      </c>
      <c r="Q2" s="7">
        <v>45610</v>
      </c>
      <c r="R2" s="9">
        <f>IF(OR(ISBLANK(masio[[#This Row],[ميعاد التسليم]]),ISBLANK(masio[[#This Row],[ميعاد الطلب]])),0,masio[[#This Row],[ميعاد التسليم]]-masio[[#This Row],[ميعاد الطلب]])</f>
        <v>44</v>
      </c>
      <c r="S2" s="9">
        <f>IF(OR(ISBLANK(masio[[#This Row],[تاريخ التسليم]]),ISBLANK(masio[[#This Row],[ميعاد الطلب]])),0,masio[[#This Row],[تاريخ التسليم]]-masio[[#This Row],[ميعاد الطلب]])</f>
        <v>59</v>
      </c>
      <c r="T2" t="s">
        <v>23</v>
      </c>
      <c r="U2" t="s">
        <v>176</v>
      </c>
      <c r="V2" t="str">
        <f>IF(masio[[#This Row],[مده التسليم الفعليه]]=masio[[#This Row],[مده التسليم الاساسيه]],"في الموعد","خارج الموعد")</f>
        <v>خارج الموعد</v>
      </c>
    </row>
    <row r="3" spans="1:22" ht="20.100000000000001" customHeight="1" x14ac:dyDescent="0.3">
      <c r="A3" t="s">
        <v>205</v>
      </c>
      <c r="B3" t="s">
        <v>276</v>
      </c>
      <c r="C3" t="s">
        <v>284</v>
      </c>
      <c r="D3" t="s">
        <v>206</v>
      </c>
      <c r="E3" t="s">
        <v>6</v>
      </c>
      <c r="F3" t="s">
        <v>139</v>
      </c>
      <c r="G3" t="s">
        <v>153</v>
      </c>
      <c r="H3" t="s">
        <v>141</v>
      </c>
      <c r="I3" t="s">
        <v>207</v>
      </c>
      <c r="J3" t="s">
        <v>203</v>
      </c>
      <c r="K3"/>
      <c r="L3"/>
      <c r="M3">
        <v>12899</v>
      </c>
      <c r="N3" t="s">
        <v>13</v>
      </c>
      <c r="O3" s="7">
        <v>45582</v>
      </c>
      <c r="P3" s="7">
        <v>45648</v>
      </c>
      <c r="Q3" s="7">
        <v>45629</v>
      </c>
      <c r="R3" s="9">
        <f>IF(OR(ISBLANK(masio[[#This Row],[ميعاد التسليم]]),ISBLANK(masio[[#This Row],[ميعاد الطلب]])),0,masio[[#This Row],[ميعاد التسليم]]-masio[[#This Row],[ميعاد الطلب]])</f>
        <v>66</v>
      </c>
      <c r="S3" s="9">
        <f>IF(OR(ISBLANK(masio[[#This Row],[تاريخ التسليم]]),ISBLANK(masio[[#This Row],[ميعاد الطلب]])),0,masio[[#This Row],[تاريخ التسليم]]-masio[[#This Row],[ميعاد الطلب]])</f>
        <v>47</v>
      </c>
      <c r="T3" t="s">
        <v>23</v>
      </c>
      <c r="U3" t="s">
        <v>176</v>
      </c>
      <c r="V3" t="str">
        <f>IF(masio[[#This Row],[مده التسليم الفعليه]]=masio[[#This Row],[مده التسليم الاساسيه]],"في الموعد","خارج الموعد")</f>
        <v>خارج الموعد</v>
      </c>
    </row>
    <row r="4" spans="1:22" ht="20.100000000000001" customHeight="1" x14ac:dyDescent="0.3">
      <c r="A4" t="s">
        <v>108</v>
      </c>
      <c r="B4" t="s">
        <v>276</v>
      </c>
      <c r="C4" t="s">
        <v>282</v>
      </c>
      <c r="D4" t="s">
        <v>55</v>
      </c>
      <c r="E4" t="s">
        <v>6</v>
      </c>
      <c r="F4" t="s">
        <v>246</v>
      </c>
      <c r="G4" t="s">
        <v>172</v>
      </c>
      <c r="H4"/>
      <c r="I4"/>
      <c r="J4"/>
      <c r="K4"/>
      <c r="L4" t="s">
        <v>22</v>
      </c>
      <c r="M4">
        <v>7849</v>
      </c>
      <c r="N4" t="s">
        <v>13</v>
      </c>
      <c r="O4" s="7">
        <v>45549</v>
      </c>
      <c r="P4" s="7">
        <v>45594</v>
      </c>
      <c r="Q4" s="7">
        <v>45595</v>
      </c>
      <c r="R4" s="9">
        <f>IF(OR(ISBLANK(masio[[#This Row],[ميعاد التسليم]]),ISBLANK(masio[[#This Row],[ميعاد الطلب]])),0,masio[[#This Row],[ميعاد التسليم]]-masio[[#This Row],[ميعاد الطلب]])</f>
        <v>45</v>
      </c>
      <c r="S4" s="9">
        <f>IF(OR(ISBLANK(masio[[#This Row],[تاريخ التسليم]]),ISBLANK(masio[[#This Row],[ميعاد الطلب]])),0,masio[[#This Row],[تاريخ التسليم]]-masio[[#This Row],[ميعاد الطلب]])</f>
        <v>46</v>
      </c>
      <c r="T4" t="s">
        <v>177</v>
      </c>
      <c r="U4" t="s">
        <v>176</v>
      </c>
      <c r="V4" t="str">
        <f>IF(masio[[#This Row],[مده التسليم الفعليه]]=masio[[#This Row],[مده التسليم الاساسيه]],"في الموعد","خارج الموعد")</f>
        <v>خارج الموعد</v>
      </c>
    </row>
    <row r="5" spans="1:22" ht="20.100000000000001" customHeight="1" x14ac:dyDescent="0.3">
      <c r="A5" t="s">
        <v>89</v>
      </c>
      <c r="B5" t="s">
        <v>276</v>
      </c>
      <c r="C5" t="s">
        <v>278</v>
      </c>
      <c r="D5" t="s">
        <v>32</v>
      </c>
      <c r="E5" t="s">
        <v>6</v>
      </c>
      <c r="F5" t="s">
        <v>139</v>
      </c>
      <c r="G5" t="s">
        <v>153</v>
      </c>
      <c r="H5" t="s">
        <v>143</v>
      </c>
      <c r="I5">
        <v>120</v>
      </c>
      <c r="J5" t="s">
        <v>160</v>
      </c>
      <c r="K5"/>
      <c r="L5" s="6" t="s">
        <v>90</v>
      </c>
      <c r="M5">
        <v>13849</v>
      </c>
      <c r="N5" t="s">
        <v>13</v>
      </c>
      <c r="O5" s="7">
        <v>45548</v>
      </c>
      <c r="P5" s="7">
        <v>45565</v>
      </c>
      <c r="Q5" s="7">
        <v>45585</v>
      </c>
      <c r="R5" s="9">
        <f>IF(OR(ISBLANK(masio[[#This Row],[ميعاد التسليم]]),ISBLANK(masio[[#This Row],[ميعاد الطلب]])),0,masio[[#This Row],[ميعاد التسليم]]-masio[[#This Row],[ميعاد الطلب]])</f>
        <v>17</v>
      </c>
      <c r="S5" s="9">
        <f>IF(OR(ISBLANK(masio[[#This Row],[تاريخ التسليم]]),ISBLANK(masio[[#This Row],[ميعاد الطلب]])),0,masio[[#This Row],[تاريخ التسليم]]-masio[[#This Row],[ميعاد الطلب]])</f>
        <v>37</v>
      </c>
      <c r="T5" t="s">
        <v>177</v>
      </c>
      <c r="U5" t="s">
        <v>176</v>
      </c>
      <c r="V5" t="str">
        <f>IF(masio[[#This Row],[مده التسليم الفعليه]]=masio[[#This Row],[مده التسليم الاساسيه]],"في الموعد","خارج الموعد")</f>
        <v>خارج الموعد</v>
      </c>
    </row>
    <row r="6" spans="1:22" ht="20.100000000000001" customHeight="1" x14ac:dyDescent="0.3">
      <c r="A6" t="s">
        <v>128</v>
      </c>
      <c r="B6" t="s">
        <v>276</v>
      </c>
      <c r="C6" t="s">
        <v>278</v>
      </c>
      <c r="D6" t="s">
        <v>129</v>
      </c>
      <c r="E6" t="s">
        <v>6</v>
      </c>
      <c r="F6" t="s">
        <v>246</v>
      </c>
      <c r="G6" t="s">
        <v>171</v>
      </c>
      <c r="H6"/>
      <c r="I6"/>
      <c r="J6"/>
      <c r="K6"/>
      <c r="L6" t="s">
        <v>130</v>
      </c>
      <c r="M6">
        <v>8349</v>
      </c>
      <c r="N6" t="s">
        <v>13</v>
      </c>
      <c r="O6" s="7">
        <v>45549</v>
      </c>
      <c r="P6" s="7">
        <v>45581</v>
      </c>
      <c r="Q6" s="7">
        <v>45586</v>
      </c>
      <c r="R6" s="9">
        <f>IF(OR(ISBLANK(masio[[#This Row],[ميعاد التسليم]]),ISBLANK(masio[[#This Row],[ميعاد الطلب]])),0,masio[[#This Row],[ميعاد التسليم]]-masio[[#This Row],[ميعاد الطلب]])</f>
        <v>32</v>
      </c>
      <c r="S6" s="9">
        <f>IF(OR(ISBLANK(masio[[#This Row],[تاريخ التسليم]]),ISBLANK(masio[[#This Row],[ميعاد الطلب]])),0,masio[[#This Row],[تاريخ التسليم]]-masio[[#This Row],[ميعاد الطلب]])</f>
        <v>37</v>
      </c>
      <c r="T6" t="s">
        <v>177</v>
      </c>
      <c r="U6" t="s">
        <v>176</v>
      </c>
      <c r="V6" t="str">
        <f>IF(masio[[#This Row],[مده التسليم الفعليه]]=masio[[#This Row],[مده التسليم الاساسيه]],"في الموعد","خارج الموعد")</f>
        <v>خارج الموعد</v>
      </c>
    </row>
    <row r="7" spans="1:22" ht="20.100000000000001" customHeight="1" x14ac:dyDescent="0.3">
      <c r="A7" t="s">
        <v>114</v>
      </c>
      <c r="B7" t="s">
        <v>276</v>
      </c>
      <c r="C7" t="s">
        <v>282</v>
      </c>
      <c r="D7" t="s">
        <v>80</v>
      </c>
      <c r="E7" t="s">
        <v>6</v>
      </c>
      <c r="F7" t="s">
        <v>246</v>
      </c>
      <c r="G7" t="s">
        <v>173</v>
      </c>
      <c r="H7"/>
      <c r="I7"/>
      <c r="J7"/>
      <c r="K7"/>
      <c r="L7" t="s">
        <v>115</v>
      </c>
      <c r="M7">
        <v>8349</v>
      </c>
      <c r="N7" t="s">
        <v>13</v>
      </c>
      <c r="O7" s="7">
        <v>45549</v>
      </c>
      <c r="P7" s="7">
        <v>45594</v>
      </c>
      <c r="Q7" s="7">
        <v>45584</v>
      </c>
      <c r="R7" s="9">
        <f>IF(OR(ISBLANK(masio[[#This Row],[ميعاد التسليم]]),ISBLANK(masio[[#This Row],[ميعاد الطلب]])),0,masio[[#This Row],[ميعاد التسليم]]-masio[[#This Row],[ميعاد الطلب]])</f>
        <v>45</v>
      </c>
      <c r="S7" s="9">
        <f>IF(OR(ISBLANK(masio[[#This Row],[تاريخ التسليم]]),ISBLANK(masio[[#This Row],[ميعاد الطلب]])),0,masio[[#This Row],[تاريخ التسليم]]-masio[[#This Row],[ميعاد الطلب]])</f>
        <v>35</v>
      </c>
      <c r="T7" t="s">
        <v>177</v>
      </c>
      <c r="U7" t="s">
        <v>176</v>
      </c>
      <c r="V7" t="str">
        <f>IF(masio[[#This Row],[مده التسليم الفعليه]]=masio[[#This Row],[مده التسليم الاساسيه]],"في الموعد","خارج الموعد")</f>
        <v>خارج الموعد</v>
      </c>
    </row>
    <row r="8" spans="1:22" ht="20.100000000000001" customHeight="1" x14ac:dyDescent="0.3">
      <c r="A8" t="s">
        <v>124</v>
      </c>
      <c r="B8" t="s">
        <v>276</v>
      </c>
      <c r="C8" t="s">
        <v>285</v>
      </c>
      <c r="D8" t="s">
        <v>125</v>
      </c>
      <c r="E8" t="s">
        <v>6</v>
      </c>
      <c r="F8" t="s">
        <v>246</v>
      </c>
      <c r="G8" t="s">
        <v>171</v>
      </c>
      <c r="H8"/>
      <c r="I8"/>
      <c r="J8"/>
      <c r="K8"/>
      <c r="L8" t="s">
        <v>56</v>
      </c>
      <c r="M8">
        <v>10319</v>
      </c>
      <c r="N8" t="s">
        <v>13</v>
      </c>
      <c r="O8" s="7">
        <v>45549</v>
      </c>
      <c r="P8" s="7">
        <v>45594</v>
      </c>
      <c r="Q8" s="7">
        <v>45584</v>
      </c>
      <c r="R8" s="9">
        <f>IF(OR(ISBLANK(masio[[#This Row],[ميعاد التسليم]]),ISBLANK(masio[[#This Row],[ميعاد الطلب]])),0,masio[[#This Row],[ميعاد التسليم]]-masio[[#This Row],[ميعاد الطلب]])</f>
        <v>45</v>
      </c>
      <c r="S8" s="9">
        <f>IF(OR(ISBLANK(masio[[#This Row],[تاريخ التسليم]]),ISBLANK(masio[[#This Row],[ميعاد الطلب]])),0,masio[[#This Row],[تاريخ التسليم]]-masio[[#This Row],[ميعاد الطلب]])</f>
        <v>35</v>
      </c>
      <c r="T8" t="s">
        <v>177</v>
      </c>
      <c r="U8" t="s">
        <v>176</v>
      </c>
      <c r="V8" t="str">
        <f>IF(masio[[#This Row],[مده التسليم الفعليه]]=masio[[#This Row],[مده التسليم الاساسيه]],"في الموعد","خارج الموعد")</f>
        <v>خارج الموعد</v>
      </c>
    </row>
    <row r="9" spans="1:22" ht="20.100000000000001" customHeight="1" x14ac:dyDescent="0.3">
      <c r="A9" t="s">
        <v>169</v>
      </c>
      <c r="B9" t="s">
        <v>276</v>
      </c>
      <c r="C9" t="s">
        <v>282</v>
      </c>
      <c r="D9" t="s">
        <v>170</v>
      </c>
      <c r="E9" t="s">
        <v>6</v>
      </c>
      <c r="F9" t="s">
        <v>149</v>
      </c>
      <c r="G9" t="s">
        <v>152</v>
      </c>
      <c r="H9"/>
      <c r="I9"/>
      <c r="J9" t="s">
        <v>303</v>
      </c>
      <c r="K9" t="s">
        <v>159</v>
      </c>
      <c r="L9"/>
      <c r="M9">
        <v>21999</v>
      </c>
      <c r="N9" t="s">
        <v>13</v>
      </c>
      <c r="O9" s="7">
        <v>45550</v>
      </c>
      <c r="P9" s="7">
        <v>45616</v>
      </c>
      <c r="Q9" s="7">
        <v>45584</v>
      </c>
      <c r="R9" s="9">
        <f>IF(OR(ISBLANK(masio[[#This Row],[ميعاد التسليم]]),ISBLANK(masio[[#This Row],[ميعاد الطلب]])),0,masio[[#This Row],[ميعاد التسليم]]-masio[[#This Row],[ميعاد الطلب]])</f>
        <v>66</v>
      </c>
      <c r="S9" s="9">
        <f>IF(OR(ISBLANK(masio[[#This Row],[تاريخ التسليم]]),ISBLANK(masio[[#This Row],[ميعاد الطلب]])),0,masio[[#This Row],[تاريخ التسليم]]-masio[[#This Row],[ميعاد الطلب]])</f>
        <v>34</v>
      </c>
      <c r="T9" t="s">
        <v>177</v>
      </c>
      <c r="U9" t="s">
        <v>176</v>
      </c>
      <c r="V9" t="str">
        <f>IF(masio[[#This Row],[مده التسليم الفعليه]]=masio[[#This Row],[مده التسليم الاساسيه]],"في الموعد","خارج الموعد")</f>
        <v>خارج الموعد</v>
      </c>
    </row>
    <row r="10" spans="1:22" ht="20.100000000000001" customHeight="1" x14ac:dyDescent="0.3">
      <c r="A10" t="s">
        <v>81</v>
      </c>
      <c r="B10" t="s">
        <v>276</v>
      </c>
      <c r="C10" t="s">
        <v>281</v>
      </c>
      <c r="D10" t="s">
        <v>21</v>
      </c>
      <c r="E10" t="s">
        <v>6</v>
      </c>
      <c r="F10" t="s">
        <v>139</v>
      </c>
      <c r="G10" t="s">
        <v>153</v>
      </c>
      <c r="H10" t="s">
        <v>144</v>
      </c>
      <c r="I10">
        <v>80</v>
      </c>
      <c r="J10" t="s">
        <v>154</v>
      </c>
      <c r="K10"/>
      <c r="L10" s="6" t="s">
        <v>82</v>
      </c>
      <c r="M10">
        <v>10999</v>
      </c>
      <c r="N10" t="s">
        <v>13</v>
      </c>
      <c r="O10" s="7">
        <v>45548</v>
      </c>
      <c r="P10" s="7">
        <v>45565</v>
      </c>
      <c r="Q10" s="7">
        <v>45581</v>
      </c>
      <c r="R10" s="9">
        <f>IF(OR(ISBLANK(masio[[#This Row],[ميعاد التسليم]]),ISBLANK(masio[[#This Row],[ميعاد الطلب]])),0,masio[[#This Row],[ميعاد التسليم]]-masio[[#This Row],[ميعاد الطلب]])</f>
        <v>17</v>
      </c>
      <c r="S10" s="9">
        <f>IF(OR(ISBLANK(masio[[#This Row],[تاريخ التسليم]]),ISBLANK(masio[[#This Row],[ميعاد الطلب]])),0,masio[[#This Row],[تاريخ التسليم]]-masio[[#This Row],[ميعاد الطلب]])</f>
        <v>33</v>
      </c>
      <c r="T10" t="s">
        <v>23</v>
      </c>
      <c r="U10" t="s">
        <v>176</v>
      </c>
      <c r="V10" t="str">
        <f>IF(masio[[#This Row],[مده التسليم الفعليه]]=masio[[#This Row],[مده التسليم الاساسيه]],"في الموعد","خارج الموعد")</f>
        <v>خارج الموعد</v>
      </c>
    </row>
    <row r="11" spans="1:22" ht="20.100000000000001" customHeight="1" x14ac:dyDescent="0.3">
      <c r="A11" t="s">
        <v>103</v>
      </c>
      <c r="B11" t="s">
        <v>276</v>
      </c>
      <c r="C11" t="s">
        <v>283</v>
      </c>
      <c r="D11" t="s">
        <v>104</v>
      </c>
      <c r="E11" t="s">
        <v>6</v>
      </c>
      <c r="F11" t="s">
        <v>139</v>
      </c>
      <c r="G11" t="s">
        <v>153</v>
      </c>
      <c r="H11" t="s">
        <v>144</v>
      </c>
      <c r="I11">
        <v>120</v>
      </c>
      <c r="J11" t="s">
        <v>159</v>
      </c>
      <c r="K11"/>
      <c r="L11" s="6" t="s">
        <v>105</v>
      </c>
      <c r="M11">
        <v>12999</v>
      </c>
      <c r="N11" t="s">
        <v>13</v>
      </c>
      <c r="O11" s="7">
        <v>45549</v>
      </c>
      <c r="P11" s="7">
        <v>45616</v>
      </c>
      <c r="Q11" s="7">
        <v>45582</v>
      </c>
      <c r="R11" s="9">
        <f>IF(OR(ISBLANK(masio[[#This Row],[ميعاد التسليم]]),ISBLANK(masio[[#This Row],[ميعاد الطلب]])),0,masio[[#This Row],[ميعاد التسليم]]-masio[[#This Row],[ميعاد الطلب]])</f>
        <v>67</v>
      </c>
      <c r="S11" s="9">
        <f>IF(OR(ISBLANK(masio[[#This Row],[تاريخ التسليم]]),ISBLANK(masio[[#This Row],[ميعاد الطلب]])),0,masio[[#This Row],[تاريخ التسليم]]-masio[[#This Row],[ميعاد الطلب]])</f>
        <v>33</v>
      </c>
      <c r="T11" t="s">
        <v>23</v>
      </c>
      <c r="U11" t="s">
        <v>176</v>
      </c>
      <c r="V11" t="str">
        <f>IF(masio[[#This Row],[مده التسليم الفعليه]]=masio[[#This Row],[مده التسليم الاساسيه]],"في الموعد","خارج الموعد")</f>
        <v>خارج الموعد</v>
      </c>
    </row>
    <row r="12" spans="1:22" ht="20.100000000000001" customHeight="1" x14ac:dyDescent="0.3">
      <c r="A12" t="s">
        <v>100</v>
      </c>
      <c r="B12" t="s">
        <v>276</v>
      </c>
      <c r="C12" t="s">
        <v>278</v>
      </c>
      <c r="D12" t="s">
        <v>32</v>
      </c>
      <c r="E12" t="s">
        <v>6</v>
      </c>
      <c r="F12" t="s">
        <v>139</v>
      </c>
      <c r="G12" t="s">
        <v>153</v>
      </c>
      <c r="H12" t="s">
        <v>144</v>
      </c>
      <c r="I12">
        <v>80</v>
      </c>
      <c r="J12" t="s">
        <v>154</v>
      </c>
      <c r="K12"/>
      <c r="L12" s="6" t="s">
        <v>82</v>
      </c>
      <c r="M12">
        <v>10999</v>
      </c>
      <c r="N12" t="s">
        <v>13</v>
      </c>
      <c r="O12" s="7">
        <v>45548</v>
      </c>
      <c r="P12" s="7">
        <v>45565</v>
      </c>
      <c r="Q12" s="7">
        <v>45580</v>
      </c>
      <c r="R12" s="9">
        <f>IF(OR(ISBLANK(masio[[#This Row],[ميعاد التسليم]]),ISBLANK(masio[[#This Row],[ميعاد الطلب]])),0,masio[[#This Row],[ميعاد التسليم]]-masio[[#This Row],[ميعاد الطلب]])</f>
        <v>17</v>
      </c>
      <c r="S12" s="9">
        <f>IF(OR(ISBLANK(masio[[#This Row],[تاريخ التسليم]]),ISBLANK(masio[[#This Row],[ميعاد الطلب]])),0,masio[[#This Row],[تاريخ التسليم]]-masio[[#This Row],[ميعاد الطلب]])</f>
        <v>32</v>
      </c>
      <c r="T12" t="s">
        <v>177</v>
      </c>
      <c r="U12" t="s">
        <v>176</v>
      </c>
      <c r="V12" t="str">
        <f>IF(masio[[#This Row],[مده التسليم الفعليه]]=masio[[#This Row],[مده التسليم الاساسيه]],"في الموعد","خارج الموعد")</f>
        <v>خارج الموعد</v>
      </c>
    </row>
    <row r="13" spans="1:22" ht="20.100000000000001" customHeight="1" x14ac:dyDescent="0.3">
      <c r="A13" t="s">
        <v>126</v>
      </c>
      <c r="B13" t="s">
        <v>276</v>
      </c>
      <c r="C13" t="s">
        <v>282</v>
      </c>
      <c r="D13" t="s">
        <v>55</v>
      </c>
      <c r="E13" t="s">
        <v>6</v>
      </c>
      <c r="F13" t="s">
        <v>139</v>
      </c>
      <c r="G13" t="s">
        <v>153</v>
      </c>
      <c r="H13" t="s">
        <v>141</v>
      </c>
      <c r="I13">
        <v>80</v>
      </c>
      <c r="J13" t="s">
        <v>154</v>
      </c>
      <c r="K13"/>
      <c r="L13" s="6" t="s">
        <v>127</v>
      </c>
      <c r="M13">
        <v>10999</v>
      </c>
      <c r="N13" t="s">
        <v>13</v>
      </c>
      <c r="O13" s="7">
        <v>45549</v>
      </c>
      <c r="P13" s="7">
        <v>45616</v>
      </c>
      <c r="Q13" s="7">
        <v>45581</v>
      </c>
      <c r="R13" s="9">
        <f>IF(OR(ISBLANK(masio[[#This Row],[ميعاد التسليم]]),ISBLANK(masio[[#This Row],[ميعاد الطلب]])),0,masio[[#This Row],[ميعاد التسليم]]-masio[[#This Row],[ميعاد الطلب]])</f>
        <v>67</v>
      </c>
      <c r="S13" s="9">
        <f>IF(OR(ISBLANK(masio[[#This Row],[تاريخ التسليم]]),ISBLANK(masio[[#This Row],[ميعاد الطلب]])),0,masio[[#This Row],[تاريخ التسليم]]-masio[[#This Row],[ميعاد الطلب]])</f>
        <v>32</v>
      </c>
      <c r="T13" t="s">
        <v>177</v>
      </c>
      <c r="U13" t="s">
        <v>176</v>
      </c>
      <c r="V13" t="str">
        <f>IF(masio[[#This Row],[مده التسليم الفعليه]]=masio[[#This Row],[مده التسليم الاساسيه]],"في الموعد","خارج الموعد")</f>
        <v>خارج الموعد</v>
      </c>
    </row>
    <row r="14" spans="1:22" ht="20.100000000000001" customHeight="1" x14ac:dyDescent="0.3">
      <c r="A14" t="s">
        <v>109</v>
      </c>
      <c r="B14" t="s">
        <v>276</v>
      </c>
      <c r="C14" t="s">
        <v>278</v>
      </c>
      <c r="D14" t="s">
        <v>32</v>
      </c>
      <c r="E14" t="s">
        <v>6</v>
      </c>
      <c r="F14" t="s">
        <v>139</v>
      </c>
      <c r="G14" t="s">
        <v>140</v>
      </c>
      <c r="H14"/>
      <c r="I14"/>
      <c r="J14" t="s">
        <v>303</v>
      </c>
      <c r="K14" t="s">
        <v>155</v>
      </c>
      <c r="L14" s="6" t="s">
        <v>110</v>
      </c>
      <c r="M14">
        <v>9399</v>
      </c>
      <c r="N14" t="s">
        <v>13</v>
      </c>
      <c r="O14" s="7">
        <v>45549</v>
      </c>
      <c r="P14" s="7">
        <v>45594</v>
      </c>
      <c r="Q14" s="7">
        <v>45580</v>
      </c>
      <c r="R14" s="9">
        <f>IF(OR(ISBLANK(masio[[#This Row],[ميعاد التسليم]]),ISBLANK(masio[[#This Row],[ميعاد الطلب]])),0,masio[[#This Row],[ميعاد التسليم]]-masio[[#This Row],[ميعاد الطلب]])</f>
        <v>45</v>
      </c>
      <c r="S14" s="9">
        <f>IF(OR(ISBLANK(masio[[#This Row],[تاريخ التسليم]]),ISBLANK(masio[[#This Row],[ميعاد الطلب]])),0,masio[[#This Row],[تاريخ التسليم]]-masio[[#This Row],[ميعاد الطلب]])</f>
        <v>31</v>
      </c>
      <c r="T14" t="s">
        <v>177</v>
      </c>
      <c r="U14" t="s">
        <v>176</v>
      </c>
      <c r="V14" t="str">
        <f>IF(masio[[#This Row],[مده التسليم الفعليه]]=masio[[#This Row],[مده التسليم الاساسيه]],"في الموعد","خارج الموعد")</f>
        <v>خارج الموعد</v>
      </c>
    </row>
    <row r="15" spans="1:22" ht="20.100000000000001" customHeight="1" x14ac:dyDescent="0.3">
      <c r="A15" t="s">
        <v>111</v>
      </c>
      <c r="B15" t="s">
        <v>276</v>
      </c>
      <c r="C15" t="s">
        <v>278</v>
      </c>
      <c r="D15" t="s">
        <v>112</v>
      </c>
      <c r="E15" t="s">
        <v>6</v>
      </c>
      <c r="F15" t="s">
        <v>139</v>
      </c>
      <c r="G15" t="s">
        <v>142</v>
      </c>
      <c r="H15" t="s">
        <v>145</v>
      </c>
      <c r="I15">
        <v>140</v>
      </c>
      <c r="J15" t="s">
        <v>303</v>
      </c>
      <c r="K15"/>
      <c r="L15" s="6" t="s">
        <v>113</v>
      </c>
      <c r="M15">
        <v>11817</v>
      </c>
      <c r="N15" t="s">
        <v>13</v>
      </c>
      <c r="O15" s="7">
        <v>45549</v>
      </c>
      <c r="P15" s="7">
        <v>45594</v>
      </c>
      <c r="Q15" s="7">
        <v>45580</v>
      </c>
      <c r="R15" s="9">
        <f>IF(OR(ISBLANK(masio[[#This Row],[ميعاد التسليم]]),ISBLANK(masio[[#This Row],[ميعاد الطلب]])),0,masio[[#This Row],[ميعاد التسليم]]-masio[[#This Row],[ميعاد الطلب]])</f>
        <v>45</v>
      </c>
      <c r="S15" s="9">
        <f>IF(OR(ISBLANK(masio[[#This Row],[تاريخ التسليم]]),ISBLANK(masio[[#This Row],[ميعاد الطلب]])),0,masio[[#This Row],[تاريخ التسليم]]-masio[[#This Row],[ميعاد الطلب]])</f>
        <v>31</v>
      </c>
      <c r="T15" t="s">
        <v>177</v>
      </c>
      <c r="U15" t="s">
        <v>176</v>
      </c>
      <c r="V15" t="str">
        <f>IF(masio[[#This Row],[مده التسليم الفعليه]]=masio[[#This Row],[مده التسليم الاساسيه]],"في الموعد","خارج الموعد")</f>
        <v>خارج الموعد</v>
      </c>
    </row>
    <row r="16" spans="1:22" ht="20.100000000000001" customHeight="1" x14ac:dyDescent="0.3">
      <c r="A16" t="s">
        <v>167</v>
      </c>
      <c r="B16" t="s">
        <v>276</v>
      </c>
      <c r="C16" t="s">
        <v>282</v>
      </c>
      <c r="D16" t="s">
        <v>168</v>
      </c>
      <c r="E16" t="s">
        <v>6</v>
      </c>
      <c r="F16" t="s">
        <v>139</v>
      </c>
      <c r="G16" t="s">
        <v>153</v>
      </c>
      <c r="H16" t="s">
        <v>144</v>
      </c>
      <c r="I16">
        <v>80</v>
      </c>
      <c r="J16" t="s">
        <v>154</v>
      </c>
      <c r="K16"/>
      <c r="L16"/>
      <c r="M16">
        <v>10999</v>
      </c>
      <c r="N16" t="s">
        <v>13</v>
      </c>
      <c r="O16" s="7">
        <v>45550</v>
      </c>
      <c r="P16" s="7">
        <v>45616</v>
      </c>
      <c r="Q16" s="7">
        <v>45581</v>
      </c>
      <c r="R16" s="9">
        <f>IF(OR(ISBLANK(masio[[#This Row],[ميعاد التسليم]]),ISBLANK(masio[[#This Row],[ميعاد الطلب]])),0,masio[[#This Row],[ميعاد التسليم]]-masio[[#This Row],[ميعاد الطلب]])</f>
        <v>66</v>
      </c>
      <c r="S16" s="9">
        <f>IF(OR(ISBLANK(masio[[#This Row],[تاريخ التسليم]]),ISBLANK(masio[[#This Row],[ميعاد الطلب]])),0,masio[[#This Row],[تاريخ التسليم]]-masio[[#This Row],[ميعاد الطلب]])</f>
        <v>31</v>
      </c>
      <c r="T16" t="s">
        <v>177</v>
      </c>
      <c r="U16" t="s">
        <v>176</v>
      </c>
      <c r="V16" t="str">
        <f>IF(masio[[#This Row],[مده التسليم الفعليه]]=masio[[#This Row],[مده التسليم الاساسيه]],"في الموعد","خارج الموعد")</f>
        <v>خارج الموعد</v>
      </c>
    </row>
    <row r="17" spans="1:22" ht="20.100000000000001" customHeight="1" x14ac:dyDescent="0.3">
      <c r="A17" t="s">
        <v>34</v>
      </c>
      <c r="B17" t="s">
        <v>275</v>
      </c>
      <c r="C17" t="s">
        <v>282</v>
      </c>
      <c r="D17" t="s">
        <v>35</v>
      </c>
      <c r="E17" t="s">
        <v>36</v>
      </c>
      <c r="F17" t="s">
        <v>146</v>
      </c>
      <c r="G17" t="s">
        <v>148</v>
      </c>
      <c r="H17"/>
      <c r="I17"/>
      <c r="J17"/>
      <c r="K17"/>
      <c r="L17" t="s">
        <v>37</v>
      </c>
      <c r="M17">
        <v>22000</v>
      </c>
      <c r="N17" t="s">
        <v>287</v>
      </c>
      <c r="O17" s="7">
        <v>45523</v>
      </c>
      <c r="P17" s="7">
        <v>45536</v>
      </c>
      <c r="Q17" s="7">
        <v>45552</v>
      </c>
      <c r="R17" s="9">
        <f>IF(OR(ISBLANK(masio[[#This Row],[ميعاد التسليم]]),ISBLANK(masio[[#This Row],[ميعاد الطلب]])),0,masio[[#This Row],[ميعاد التسليم]]-masio[[#This Row],[ميعاد الطلب]])</f>
        <v>13</v>
      </c>
      <c r="S17" s="9">
        <f>IF(OR(ISBLANK(masio[[#This Row],[تاريخ التسليم]]),ISBLANK(masio[[#This Row],[ميعاد الطلب]])),0,masio[[#This Row],[تاريخ التسليم]]-masio[[#This Row],[ميعاد الطلب]])</f>
        <v>29</v>
      </c>
      <c r="T17"/>
      <c r="U17" t="s">
        <v>176</v>
      </c>
      <c r="V17" t="str">
        <f>IF(masio[[#This Row],[مده التسليم الفعليه]]=masio[[#This Row],[مده التسليم الاساسيه]],"في الموعد","خارج الموعد")</f>
        <v>خارج الموعد</v>
      </c>
    </row>
    <row r="18" spans="1:22" ht="20.100000000000001" customHeight="1" x14ac:dyDescent="0.3">
      <c r="A18" t="s">
        <v>121</v>
      </c>
      <c r="B18" t="s">
        <v>276</v>
      </c>
      <c r="C18" t="s">
        <v>282</v>
      </c>
      <c r="D18" t="s">
        <v>60</v>
      </c>
      <c r="E18" t="s">
        <v>6</v>
      </c>
      <c r="F18" t="s">
        <v>139</v>
      </c>
      <c r="G18" t="s">
        <v>142</v>
      </c>
      <c r="H18" t="s">
        <v>145</v>
      </c>
      <c r="I18">
        <v>120</v>
      </c>
      <c r="J18" t="s">
        <v>154</v>
      </c>
      <c r="K18"/>
      <c r="L18" s="6" t="s">
        <v>122</v>
      </c>
      <c r="M18">
        <v>10987</v>
      </c>
      <c r="N18" t="s">
        <v>13</v>
      </c>
      <c r="O18" s="7">
        <v>45549</v>
      </c>
      <c r="P18" s="7">
        <v>45594</v>
      </c>
      <c r="Q18" s="7">
        <v>45578</v>
      </c>
      <c r="R18" s="9">
        <f>IF(OR(ISBLANK(masio[[#This Row],[ميعاد التسليم]]),ISBLANK(masio[[#This Row],[ميعاد الطلب]])),0,masio[[#This Row],[ميعاد التسليم]]-masio[[#This Row],[ميعاد الطلب]])</f>
        <v>45</v>
      </c>
      <c r="S18" s="9">
        <f>IF(OR(ISBLANK(masio[[#This Row],[تاريخ التسليم]]),ISBLANK(masio[[#This Row],[ميعاد الطلب]])),0,masio[[#This Row],[تاريخ التسليم]]-masio[[#This Row],[ميعاد الطلب]])</f>
        <v>29</v>
      </c>
      <c r="T18" t="s">
        <v>177</v>
      </c>
      <c r="U18" t="s">
        <v>176</v>
      </c>
      <c r="V18" t="str">
        <f>IF(masio[[#This Row],[مده التسليم الفعليه]]=masio[[#This Row],[مده التسليم الاساسيه]],"في الموعد","خارج الموعد")</f>
        <v>خارج الموعد</v>
      </c>
    </row>
    <row r="19" spans="1:22" ht="20.100000000000001" customHeight="1" x14ac:dyDescent="0.3">
      <c r="A19" t="s">
        <v>215</v>
      </c>
      <c r="B19" t="s">
        <v>276</v>
      </c>
      <c r="C19" t="s">
        <v>278</v>
      </c>
      <c r="D19" t="s">
        <v>216</v>
      </c>
      <c r="E19" t="s">
        <v>6</v>
      </c>
      <c r="F19" t="s">
        <v>139</v>
      </c>
      <c r="G19" t="s">
        <v>142</v>
      </c>
      <c r="H19" t="s">
        <v>163</v>
      </c>
      <c r="I19">
        <v>120</v>
      </c>
      <c r="J19" t="s">
        <v>154</v>
      </c>
      <c r="K19"/>
      <c r="L19"/>
      <c r="M19">
        <v>8943</v>
      </c>
      <c r="N19" t="s">
        <v>287</v>
      </c>
      <c r="O19" s="7">
        <v>45586</v>
      </c>
      <c r="P19" s="7">
        <v>45610</v>
      </c>
      <c r="Q19" s="7">
        <v>45614</v>
      </c>
      <c r="R19" s="9">
        <f>IF(OR(ISBLANK(masio[[#This Row],[ميعاد التسليم]]),ISBLANK(masio[[#This Row],[ميعاد الطلب]])),0,masio[[#This Row],[ميعاد التسليم]]-masio[[#This Row],[ميعاد الطلب]])</f>
        <v>24</v>
      </c>
      <c r="S19" s="9">
        <f>IF(OR(ISBLANK(masio[[#This Row],[تاريخ التسليم]]),ISBLANK(masio[[#This Row],[ميعاد الطلب]])),0,masio[[#This Row],[تاريخ التسليم]]-masio[[#This Row],[ميعاد الطلب]])</f>
        <v>28</v>
      </c>
      <c r="T19" t="s">
        <v>177</v>
      </c>
      <c r="U19" t="s">
        <v>176</v>
      </c>
      <c r="V19" t="str">
        <f>IF(masio[[#This Row],[مده التسليم الفعليه]]=masio[[#This Row],[مده التسليم الاساسيه]],"في الموعد","خارج الموعد")</f>
        <v>خارج الموعد</v>
      </c>
    </row>
    <row r="20" spans="1:22" ht="20.100000000000001" customHeight="1" x14ac:dyDescent="0.3">
      <c r="A20" t="s">
        <v>26</v>
      </c>
      <c r="B20" t="s">
        <v>275</v>
      </c>
      <c r="C20" t="s">
        <v>278</v>
      </c>
      <c r="D20" t="s">
        <v>181</v>
      </c>
      <c r="E20" t="s">
        <v>45</v>
      </c>
      <c r="F20" t="s">
        <v>139</v>
      </c>
      <c r="G20" t="s">
        <v>153</v>
      </c>
      <c r="H20" t="s">
        <v>213</v>
      </c>
      <c r="I20">
        <v>100</v>
      </c>
      <c r="J20"/>
      <c r="K20"/>
      <c r="L20"/>
      <c r="M20">
        <v>12777.5</v>
      </c>
      <c r="N20" t="s">
        <v>287</v>
      </c>
      <c r="O20" s="7">
        <v>45587</v>
      </c>
      <c r="P20" s="7">
        <v>45608</v>
      </c>
      <c r="Q20" s="7">
        <v>45614</v>
      </c>
      <c r="R20" s="9">
        <f>IF(OR(ISBLANK(masio[[#This Row],[ميعاد التسليم]]),ISBLANK(masio[[#This Row],[ميعاد الطلب]])),0,masio[[#This Row],[ميعاد التسليم]]-masio[[#This Row],[ميعاد الطلب]])</f>
        <v>21</v>
      </c>
      <c r="S20" s="9">
        <f>IF(OR(ISBLANK(masio[[#This Row],[تاريخ التسليم]]),ISBLANK(masio[[#This Row],[ميعاد الطلب]])),0,masio[[#This Row],[تاريخ التسليم]]-masio[[#This Row],[ميعاد الطلب]])</f>
        <v>27</v>
      </c>
      <c r="T20" t="s">
        <v>177</v>
      </c>
      <c r="U20" t="s">
        <v>176</v>
      </c>
      <c r="V20" t="str">
        <f>IF(masio[[#This Row],[مده التسليم الفعليه]]=masio[[#This Row],[مده التسليم الاساسيه]],"في الموعد","خارج الموعد")</f>
        <v>خارج الموعد</v>
      </c>
    </row>
    <row r="21" spans="1:22" ht="20.100000000000001" customHeight="1" x14ac:dyDescent="0.3">
      <c r="A21" t="s">
        <v>244</v>
      </c>
      <c r="B21" t="s">
        <v>276</v>
      </c>
      <c r="C21" t="s">
        <v>284</v>
      </c>
      <c r="D21" t="s">
        <v>245</v>
      </c>
      <c r="E21" t="s">
        <v>6</v>
      </c>
      <c r="F21" t="s">
        <v>246</v>
      </c>
      <c r="G21"/>
      <c r="H21" t="s">
        <v>247</v>
      </c>
      <c r="I21"/>
      <c r="J21"/>
      <c r="K21"/>
      <c r="L21"/>
      <c r="M21">
        <v>8449</v>
      </c>
      <c r="N21" t="s">
        <v>13</v>
      </c>
      <c r="O21" s="7">
        <v>45623</v>
      </c>
      <c r="P21" s="7">
        <v>45636</v>
      </c>
      <c r="Q21" s="7">
        <v>45649</v>
      </c>
      <c r="R21" s="9">
        <f>IF(OR(ISBLANK(masio[[#This Row],[ميعاد التسليم]]),ISBLANK(masio[[#This Row],[ميعاد الطلب]])),0,masio[[#This Row],[ميعاد التسليم]]-masio[[#This Row],[ميعاد الطلب]])</f>
        <v>13</v>
      </c>
      <c r="S21" s="9">
        <f>IF(OR(ISBLANK(masio[[#This Row],[تاريخ التسليم]]),ISBLANK(masio[[#This Row],[ميعاد الطلب]])),0,masio[[#This Row],[تاريخ التسليم]]-masio[[#This Row],[ميعاد الطلب]])</f>
        <v>26</v>
      </c>
      <c r="T21" t="s">
        <v>23</v>
      </c>
      <c r="U21" t="s">
        <v>176</v>
      </c>
      <c r="V21" t="str">
        <f>IF(masio[[#This Row],[مده التسليم الفعليه]]=masio[[#This Row],[مده التسليم الاساسيه]],"في الموعد","خارج الموعد")</f>
        <v>خارج الموعد</v>
      </c>
    </row>
    <row r="22" spans="1:22" ht="20.100000000000001" customHeight="1" x14ac:dyDescent="0.3">
      <c r="A22" t="s">
        <v>123</v>
      </c>
      <c r="B22" t="s">
        <v>276</v>
      </c>
      <c r="C22" t="s">
        <v>282</v>
      </c>
      <c r="D22" t="s">
        <v>60</v>
      </c>
      <c r="E22" t="s">
        <v>6</v>
      </c>
      <c r="F22" t="s">
        <v>149</v>
      </c>
      <c r="G22" t="s">
        <v>152</v>
      </c>
      <c r="H22"/>
      <c r="I22"/>
      <c r="J22" t="s">
        <v>303</v>
      </c>
      <c r="K22" t="s">
        <v>159</v>
      </c>
      <c r="L22" t="s">
        <v>95</v>
      </c>
      <c r="M22">
        <v>21999</v>
      </c>
      <c r="N22" t="s">
        <v>13</v>
      </c>
      <c r="O22" s="7">
        <v>45549</v>
      </c>
      <c r="P22" s="7">
        <v>45616</v>
      </c>
      <c r="Q22" s="7">
        <v>45574</v>
      </c>
      <c r="R22" s="9">
        <f>IF(OR(ISBLANK(masio[[#This Row],[ميعاد التسليم]]),ISBLANK(masio[[#This Row],[ميعاد الطلب]])),0,masio[[#This Row],[ميعاد التسليم]]-masio[[#This Row],[ميعاد الطلب]])</f>
        <v>67</v>
      </c>
      <c r="S22" s="9">
        <f>IF(OR(ISBLANK(masio[[#This Row],[تاريخ التسليم]]),ISBLANK(masio[[#This Row],[ميعاد الطلب]])),0,masio[[#This Row],[تاريخ التسليم]]-masio[[#This Row],[ميعاد الطلب]])</f>
        <v>25</v>
      </c>
      <c r="T22" t="s">
        <v>177</v>
      </c>
      <c r="U22" t="s">
        <v>176</v>
      </c>
      <c r="V22" t="str">
        <f>IF(masio[[#This Row],[مده التسليم الفعليه]]=masio[[#This Row],[مده التسليم الاساسيه]],"في الموعد","خارج الموعد")</f>
        <v>خارج الموعد</v>
      </c>
    </row>
    <row r="23" spans="1:22" ht="20.100000000000001" customHeight="1" x14ac:dyDescent="0.3">
      <c r="A23" t="s">
        <v>208</v>
      </c>
      <c r="B23" t="s">
        <v>276</v>
      </c>
      <c r="C23" t="s">
        <v>282</v>
      </c>
      <c r="D23" t="s">
        <v>209</v>
      </c>
      <c r="E23" t="s">
        <v>210</v>
      </c>
      <c r="F23" t="s">
        <v>139</v>
      </c>
      <c r="G23" t="s">
        <v>142</v>
      </c>
      <c r="H23" t="s">
        <v>211</v>
      </c>
      <c r="I23">
        <v>140</v>
      </c>
      <c r="J23" t="s">
        <v>192</v>
      </c>
      <c r="K23" t="s">
        <v>212</v>
      </c>
      <c r="L23"/>
      <c r="M23">
        <v>5135</v>
      </c>
      <c r="N23" t="s">
        <v>13</v>
      </c>
      <c r="O23" s="7">
        <v>45585</v>
      </c>
      <c r="P23" s="7">
        <v>45613</v>
      </c>
      <c r="Q23" s="7">
        <v>45610</v>
      </c>
      <c r="R23" s="9">
        <f>IF(OR(ISBLANK(masio[[#This Row],[ميعاد التسليم]]),ISBLANK(masio[[#This Row],[ميعاد الطلب]])),0,masio[[#This Row],[ميعاد التسليم]]-masio[[#This Row],[ميعاد الطلب]])</f>
        <v>28</v>
      </c>
      <c r="S23" s="9">
        <f>IF(OR(ISBLANK(masio[[#This Row],[تاريخ التسليم]]),ISBLANK(masio[[#This Row],[ميعاد الطلب]])),0,masio[[#This Row],[تاريخ التسليم]]-masio[[#This Row],[ميعاد الطلب]])</f>
        <v>25</v>
      </c>
      <c r="T23" t="s">
        <v>177</v>
      </c>
      <c r="U23" t="s">
        <v>176</v>
      </c>
      <c r="V23" t="str">
        <f>IF(masio[[#This Row],[مده التسليم الفعليه]]=masio[[#This Row],[مده التسليم الاساسيه]],"في الموعد","خارج الموعد")</f>
        <v>خارج الموعد</v>
      </c>
    </row>
    <row r="24" spans="1:22" ht="20.100000000000001" customHeight="1" x14ac:dyDescent="0.3">
      <c r="A24" t="s">
        <v>34</v>
      </c>
      <c r="B24" t="s">
        <v>275</v>
      </c>
      <c r="C24" t="s">
        <v>282</v>
      </c>
      <c r="D24" t="s">
        <v>35</v>
      </c>
      <c r="E24" t="s">
        <v>36</v>
      </c>
      <c r="F24" t="s">
        <v>139</v>
      </c>
      <c r="G24" t="s">
        <v>153</v>
      </c>
      <c r="H24" t="s">
        <v>143</v>
      </c>
      <c r="I24">
        <v>100</v>
      </c>
      <c r="J24" t="s">
        <v>303</v>
      </c>
      <c r="K24"/>
      <c r="L24"/>
      <c r="M24">
        <v>6250</v>
      </c>
      <c r="N24" t="s">
        <v>77</v>
      </c>
      <c r="O24" s="7">
        <v>45558</v>
      </c>
      <c r="P24" s="7">
        <v>45573</v>
      </c>
      <c r="Q24" s="7">
        <v>45582</v>
      </c>
      <c r="R24" s="9">
        <f>IF(OR(ISBLANK(masio[[#This Row],[ميعاد التسليم]]),ISBLANK(masio[[#This Row],[ميعاد الطلب]])),0,masio[[#This Row],[ميعاد التسليم]]-masio[[#This Row],[ميعاد الطلب]])</f>
        <v>15</v>
      </c>
      <c r="S24" s="9">
        <f>IF(OR(ISBLANK(masio[[#This Row],[تاريخ التسليم]]),ISBLANK(masio[[#This Row],[ميعاد الطلب]])),0,masio[[#This Row],[تاريخ التسليم]]-masio[[#This Row],[ميعاد الطلب]])</f>
        <v>24</v>
      </c>
      <c r="T24" t="s">
        <v>177</v>
      </c>
      <c r="U24" t="s">
        <v>176</v>
      </c>
      <c r="V24" t="str">
        <f>IF(masio[[#This Row],[مده التسليم الفعليه]]=masio[[#This Row],[مده التسليم الاساسيه]],"في الموعد","خارج الموعد")</f>
        <v>خارج الموعد</v>
      </c>
    </row>
    <row r="25" spans="1:22" ht="20.100000000000001" customHeight="1" x14ac:dyDescent="0.3">
      <c r="A25" t="s">
        <v>218</v>
      </c>
      <c r="B25" t="s">
        <v>276</v>
      </c>
      <c r="C25" t="s">
        <v>282</v>
      </c>
      <c r="D25" t="s">
        <v>99</v>
      </c>
      <c r="E25" t="s">
        <v>6</v>
      </c>
      <c r="F25" t="s">
        <v>139</v>
      </c>
      <c r="G25" t="s">
        <v>142</v>
      </c>
      <c r="H25" t="s">
        <v>145</v>
      </c>
      <c r="I25">
        <v>100</v>
      </c>
      <c r="J25" t="s">
        <v>154</v>
      </c>
      <c r="K25"/>
      <c r="L25"/>
      <c r="M25">
        <v>5100</v>
      </c>
      <c r="N25" t="s">
        <v>287</v>
      </c>
      <c r="O25" s="7">
        <v>45593</v>
      </c>
      <c r="P25" s="7">
        <v>45607</v>
      </c>
      <c r="Q25" s="7">
        <v>45617</v>
      </c>
      <c r="R25" s="9">
        <f>IF(OR(ISBLANK(masio[[#This Row],[ميعاد التسليم]]),ISBLANK(masio[[#This Row],[ميعاد الطلب]])),0,masio[[#This Row],[ميعاد التسليم]]-masio[[#This Row],[ميعاد الطلب]])</f>
        <v>14</v>
      </c>
      <c r="S25" s="9">
        <f>IF(OR(ISBLANK(masio[[#This Row],[تاريخ التسليم]]),ISBLANK(masio[[#This Row],[ميعاد الطلب]])),0,masio[[#This Row],[تاريخ التسليم]]-masio[[#This Row],[ميعاد الطلب]])</f>
        <v>24</v>
      </c>
      <c r="T25" t="s">
        <v>177</v>
      </c>
      <c r="U25" t="s">
        <v>176</v>
      </c>
      <c r="V25" t="str">
        <f>IF(masio[[#This Row],[مده التسليم الفعليه]]=masio[[#This Row],[مده التسليم الاساسيه]],"في الموعد","خارج الموعد")</f>
        <v>خارج الموعد</v>
      </c>
    </row>
    <row r="26" spans="1:22" ht="20.100000000000001" customHeight="1" x14ac:dyDescent="0.3">
      <c r="A26" t="s">
        <v>218</v>
      </c>
      <c r="B26" t="s">
        <v>276</v>
      </c>
      <c r="C26" t="s">
        <v>282</v>
      </c>
      <c r="D26" t="s">
        <v>99</v>
      </c>
      <c r="E26" t="s">
        <v>6</v>
      </c>
      <c r="F26" t="s">
        <v>139</v>
      </c>
      <c r="G26" t="s">
        <v>142</v>
      </c>
      <c r="H26" t="s">
        <v>145</v>
      </c>
      <c r="I26">
        <v>120</v>
      </c>
      <c r="J26" t="s">
        <v>154</v>
      </c>
      <c r="K26"/>
      <c r="L26"/>
      <c r="M26">
        <v>5300</v>
      </c>
      <c r="N26" t="s">
        <v>287</v>
      </c>
      <c r="O26" s="7">
        <v>45593</v>
      </c>
      <c r="P26" s="7">
        <v>45607</v>
      </c>
      <c r="Q26" s="7">
        <v>45617</v>
      </c>
      <c r="R26" s="9">
        <f>IF(OR(ISBLANK(masio[[#This Row],[ميعاد التسليم]]),ISBLANK(masio[[#This Row],[ميعاد الطلب]])),0,masio[[#This Row],[ميعاد التسليم]]-masio[[#This Row],[ميعاد الطلب]])</f>
        <v>14</v>
      </c>
      <c r="S26" s="9">
        <f>IF(OR(ISBLANK(masio[[#This Row],[تاريخ التسليم]]),ISBLANK(masio[[#This Row],[ميعاد الطلب]])),0,masio[[#This Row],[تاريخ التسليم]]-masio[[#This Row],[ميعاد الطلب]])</f>
        <v>24</v>
      </c>
      <c r="T26" t="s">
        <v>177</v>
      </c>
      <c r="U26" t="s">
        <v>176</v>
      </c>
      <c r="V26" t="str">
        <f>IF(masio[[#This Row],[مده التسليم الفعليه]]=masio[[#This Row],[مده التسليم الاساسيه]],"في الموعد","خارج الموعد")</f>
        <v>خارج الموعد</v>
      </c>
    </row>
    <row r="27" spans="1:22" ht="20.100000000000001" customHeight="1" x14ac:dyDescent="0.3">
      <c r="A27" t="s">
        <v>34</v>
      </c>
      <c r="B27" t="s">
        <v>275</v>
      </c>
      <c r="C27" t="s">
        <v>282</v>
      </c>
      <c r="D27" t="s">
        <v>39</v>
      </c>
      <c r="E27" t="s">
        <v>36</v>
      </c>
      <c r="F27" t="s">
        <v>149</v>
      </c>
      <c r="G27" t="s">
        <v>147</v>
      </c>
      <c r="H27"/>
      <c r="I27"/>
      <c r="J27"/>
      <c r="K27"/>
      <c r="L27" t="s">
        <v>40</v>
      </c>
      <c r="M27">
        <v>6000</v>
      </c>
      <c r="N27" t="s">
        <v>287</v>
      </c>
      <c r="O27" s="7">
        <v>45529</v>
      </c>
      <c r="P27" s="7">
        <v>45550</v>
      </c>
      <c r="Q27" s="7">
        <v>45552</v>
      </c>
      <c r="R27" s="9">
        <f>IF(OR(ISBLANK(masio[[#This Row],[ميعاد التسليم]]),ISBLANK(masio[[#This Row],[ميعاد الطلب]])),0,masio[[#This Row],[ميعاد التسليم]]-masio[[#This Row],[ميعاد الطلب]])</f>
        <v>21</v>
      </c>
      <c r="S27" s="9">
        <f>IF(OR(ISBLANK(masio[[#This Row],[تاريخ التسليم]]),ISBLANK(masio[[#This Row],[ميعاد الطلب]])),0,masio[[#This Row],[تاريخ التسليم]]-masio[[#This Row],[ميعاد الطلب]])</f>
        <v>23</v>
      </c>
      <c r="T27" t="s">
        <v>177</v>
      </c>
      <c r="U27" t="s">
        <v>176</v>
      </c>
      <c r="V27" t="str">
        <f>IF(masio[[#This Row],[مده التسليم الفعليه]]=masio[[#This Row],[مده التسليم الاساسيه]],"في الموعد","خارج الموعد")</f>
        <v>خارج الموعد</v>
      </c>
    </row>
    <row r="28" spans="1:22" ht="20.100000000000001" customHeight="1" x14ac:dyDescent="0.3">
      <c r="A28" t="s">
        <v>26</v>
      </c>
      <c r="B28" t="s">
        <v>275</v>
      </c>
      <c r="C28"/>
      <c r="D28"/>
      <c r="E28" t="s">
        <v>45</v>
      </c>
      <c r="F28" t="s">
        <v>149</v>
      </c>
      <c r="G28" t="s">
        <v>182</v>
      </c>
      <c r="H28"/>
      <c r="I28"/>
      <c r="J28" t="s">
        <v>303</v>
      </c>
      <c r="K28" t="s">
        <v>192</v>
      </c>
      <c r="L28"/>
      <c r="M28">
        <v>14550</v>
      </c>
      <c r="N28" t="s">
        <v>287</v>
      </c>
      <c r="O28" s="7">
        <v>45575</v>
      </c>
      <c r="P28" s="7">
        <v>45596</v>
      </c>
      <c r="Q28" s="7">
        <v>45598</v>
      </c>
      <c r="R28" s="9">
        <f>IF(OR(ISBLANK(masio[[#This Row],[ميعاد التسليم]]),ISBLANK(masio[[#This Row],[ميعاد الطلب]])),0,masio[[#This Row],[ميعاد التسليم]]-masio[[#This Row],[ميعاد الطلب]])</f>
        <v>21</v>
      </c>
      <c r="S28" s="9">
        <f>IF(OR(ISBLANK(masio[[#This Row],[تاريخ التسليم]]),ISBLANK(masio[[#This Row],[ميعاد الطلب]])),0,masio[[#This Row],[تاريخ التسليم]]-masio[[#This Row],[ميعاد الطلب]])</f>
        <v>23</v>
      </c>
      <c r="T28" t="s">
        <v>177</v>
      </c>
      <c r="U28" t="s">
        <v>176</v>
      </c>
      <c r="V28" t="str">
        <f>IF(masio[[#This Row],[مده التسليم الفعليه]]=masio[[#This Row],[مده التسليم الاساسيه]],"في الموعد","خارج الموعد")</f>
        <v>خارج الموعد</v>
      </c>
    </row>
    <row r="29" spans="1:22" ht="20.100000000000001" customHeight="1" x14ac:dyDescent="0.3">
      <c r="A29" t="s">
        <v>121</v>
      </c>
      <c r="B29" t="s">
        <v>276</v>
      </c>
      <c r="C29" t="s">
        <v>278</v>
      </c>
      <c r="D29" t="s">
        <v>217</v>
      </c>
      <c r="E29" t="s">
        <v>6</v>
      </c>
      <c r="F29" t="s">
        <v>139</v>
      </c>
      <c r="G29" t="s">
        <v>153</v>
      </c>
      <c r="H29" t="s">
        <v>143</v>
      </c>
      <c r="I29">
        <v>90</v>
      </c>
      <c r="J29" t="s">
        <v>303</v>
      </c>
      <c r="K29"/>
      <c r="L29"/>
      <c r="M29">
        <v>11649</v>
      </c>
      <c r="N29" t="s">
        <v>287</v>
      </c>
      <c r="O29" s="7">
        <v>45591</v>
      </c>
      <c r="P29" s="7">
        <v>45606</v>
      </c>
      <c r="Q29" s="7">
        <v>45614</v>
      </c>
      <c r="R29" s="9">
        <f>IF(OR(ISBLANK(masio[[#This Row],[ميعاد التسليم]]),ISBLANK(masio[[#This Row],[ميعاد الطلب]])),0,masio[[#This Row],[ميعاد التسليم]]-masio[[#This Row],[ميعاد الطلب]])</f>
        <v>15</v>
      </c>
      <c r="S29" s="9">
        <f>IF(OR(ISBLANK(masio[[#This Row],[تاريخ التسليم]]),ISBLANK(masio[[#This Row],[ميعاد الطلب]])),0,masio[[#This Row],[تاريخ التسليم]]-masio[[#This Row],[ميعاد الطلب]])</f>
        <v>23</v>
      </c>
      <c r="T29" t="s">
        <v>177</v>
      </c>
      <c r="U29" t="s">
        <v>176</v>
      </c>
      <c r="V29" t="str">
        <f>IF(masio[[#This Row],[مده التسليم الفعليه]]=masio[[#This Row],[مده التسليم الاساسيه]],"في الموعد","خارج الموعد")</f>
        <v>خارج الموعد</v>
      </c>
    </row>
    <row r="30" spans="1:22" ht="20.100000000000001" customHeight="1" x14ac:dyDescent="0.3">
      <c r="A30" t="s">
        <v>26</v>
      </c>
      <c r="B30" t="s">
        <v>275</v>
      </c>
      <c r="C30"/>
      <c r="D30"/>
      <c r="E30" t="s">
        <v>45</v>
      </c>
      <c r="F30" t="s">
        <v>149</v>
      </c>
      <c r="G30" t="s">
        <v>152</v>
      </c>
      <c r="H30"/>
      <c r="I30"/>
      <c r="J30" t="s">
        <v>159</v>
      </c>
      <c r="K30"/>
      <c r="L30" t="s">
        <v>27</v>
      </c>
      <c r="M30">
        <v>14550</v>
      </c>
      <c r="N30" t="s">
        <v>13</v>
      </c>
      <c r="O30" s="7">
        <v>45518</v>
      </c>
      <c r="P30" s="7">
        <v>45538</v>
      </c>
      <c r="Q30" s="7">
        <v>45540</v>
      </c>
      <c r="R30" s="9">
        <f>IF(OR(ISBLANK(masio[[#This Row],[ميعاد التسليم]]),ISBLANK(masio[[#This Row],[ميعاد الطلب]])),0,masio[[#This Row],[ميعاد التسليم]]-masio[[#This Row],[ميعاد الطلب]])</f>
        <v>20</v>
      </c>
      <c r="S30" s="9">
        <f>IF(OR(ISBLANK(masio[[#This Row],[تاريخ التسليم]]),ISBLANK(masio[[#This Row],[ميعاد الطلب]])),0,masio[[#This Row],[تاريخ التسليم]]-masio[[#This Row],[ميعاد الطلب]])</f>
        <v>22</v>
      </c>
      <c r="T30" t="s">
        <v>23</v>
      </c>
      <c r="U30" t="s">
        <v>176</v>
      </c>
      <c r="V30" t="str">
        <f>IF(masio[[#This Row],[مده التسليم الفعليه]]=masio[[#This Row],[مده التسليم الاساسيه]],"في الموعد","خارج الموعد")</f>
        <v>خارج الموعد</v>
      </c>
    </row>
    <row r="31" spans="1:22" ht="20.100000000000001" customHeight="1" x14ac:dyDescent="0.3">
      <c r="A31" t="s">
        <v>26</v>
      </c>
      <c r="B31" t="s">
        <v>275</v>
      </c>
      <c r="C31"/>
      <c r="D31"/>
      <c r="E31" t="s">
        <v>45</v>
      </c>
      <c r="F31" t="s">
        <v>139</v>
      </c>
      <c r="G31" t="s">
        <v>142</v>
      </c>
      <c r="H31" t="s">
        <v>145</v>
      </c>
      <c r="I31">
        <v>120</v>
      </c>
      <c r="J31" t="s">
        <v>154</v>
      </c>
      <c r="K31"/>
      <c r="L31"/>
      <c r="M31">
        <v>7433</v>
      </c>
      <c r="N31" t="s">
        <v>13</v>
      </c>
      <c r="O31" s="7">
        <v>45564</v>
      </c>
      <c r="P31" s="7">
        <v>45585</v>
      </c>
      <c r="Q31" s="7">
        <v>45586</v>
      </c>
      <c r="R31" s="9">
        <f>IF(OR(ISBLANK(masio[[#This Row],[ميعاد التسليم]]),ISBLANK(masio[[#This Row],[ميعاد الطلب]])),0,masio[[#This Row],[ميعاد التسليم]]-masio[[#This Row],[ميعاد الطلب]])</f>
        <v>21</v>
      </c>
      <c r="S31" s="9">
        <f>IF(OR(ISBLANK(masio[[#This Row],[تاريخ التسليم]]),ISBLANK(masio[[#This Row],[ميعاد الطلب]])),0,masio[[#This Row],[تاريخ التسليم]]-masio[[#This Row],[ميعاد الطلب]])</f>
        <v>22</v>
      </c>
      <c r="T31" t="s">
        <v>177</v>
      </c>
      <c r="U31" t="s">
        <v>176</v>
      </c>
      <c r="V31" t="str">
        <f>IF(masio[[#This Row],[مده التسليم الفعليه]]=masio[[#This Row],[مده التسليم الاساسيه]],"في الموعد","خارج الموعد")</f>
        <v>خارج الموعد</v>
      </c>
    </row>
    <row r="32" spans="1:22" ht="20.100000000000001" customHeight="1" x14ac:dyDescent="0.3">
      <c r="A32" t="s">
        <v>26</v>
      </c>
      <c r="B32" t="s">
        <v>275</v>
      </c>
      <c r="C32" t="s">
        <v>282</v>
      </c>
      <c r="D32" t="s">
        <v>195</v>
      </c>
      <c r="E32" t="s">
        <v>45</v>
      </c>
      <c r="F32" t="s">
        <v>149</v>
      </c>
      <c r="G32" t="s">
        <v>182</v>
      </c>
      <c r="H32"/>
      <c r="I32"/>
      <c r="J32" t="s">
        <v>303</v>
      </c>
      <c r="K32" t="s">
        <v>196</v>
      </c>
      <c r="L32"/>
      <c r="M32">
        <v>14550</v>
      </c>
      <c r="N32" t="s">
        <v>13</v>
      </c>
      <c r="O32" s="7">
        <v>45573</v>
      </c>
      <c r="P32" s="7">
        <v>45594</v>
      </c>
      <c r="Q32" s="7">
        <v>45595</v>
      </c>
      <c r="R32" s="9">
        <f>IF(OR(ISBLANK(masio[[#This Row],[ميعاد التسليم]]),ISBLANK(masio[[#This Row],[ميعاد الطلب]])),0,masio[[#This Row],[ميعاد التسليم]]-masio[[#This Row],[ميعاد الطلب]])</f>
        <v>21</v>
      </c>
      <c r="S32" s="9">
        <f>IF(OR(ISBLANK(masio[[#This Row],[تاريخ التسليم]]),ISBLANK(masio[[#This Row],[ميعاد الطلب]])),0,masio[[#This Row],[تاريخ التسليم]]-masio[[#This Row],[ميعاد الطلب]])</f>
        <v>22</v>
      </c>
      <c r="T32" t="s">
        <v>177</v>
      </c>
      <c r="U32" t="s">
        <v>176</v>
      </c>
      <c r="V32" t="str">
        <f>IF(masio[[#This Row],[مده التسليم الفعليه]]=masio[[#This Row],[مده التسليم الاساسيه]],"في الموعد","خارج الموعد")</f>
        <v>خارج الموعد</v>
      </c>
    </row>
    <row r="33" spans="1:22" ht="20.100000000000001" customHeight="1" x14ac:dyDescent="0.3">
      <c r="A33" t="s">
        <v>248</v>
      </c>
      <c r="B33" t="s">
        <v>276</v>
      </c>
      <c r="C33" t="s">
        <v>282</v>
      </c>
      <c r="D33" t="s">
        <v>52</v>
      </c>
      <c r="E33" t="s">
        <v>6</v>
      </c>
      <c r="F33" t="s">
        <v>246</v>
      </c>
      <c r="G33" t="s">
        <v>249</v>
      </c>
      <c r="H33" t="s">
        <v>250</v>
      </c>
      <c r="I33"/>
      <c r="J33" t="s">
        <v>154</v>
      </c>
      <c r="K33" t="s">
        <v>251</v>
      </c>
      <c r="L33"/>
      <c r="M33">
        <v>10249</v>
      </c>
      <c r="N33" t="s">
        <v>287</v>
      </c>
      <c r="O33" s="7">
        <v>45623</v>
      </c>
      <c r="P33" s="7">
        <v>45636</v>
      </c>
      <c r="Q33" s="7">
        <v>45645</v>
      </c>
      <c r="R33" s="9">
        <f>IF(OR(ISBLANK(masio[[#This Row],[ميعاد التسليم]]),ISBLANK(masio[[#This Row],[ميعاد الطلب]])),0,masio[[#This Row],[ميعاد التسليم]]-masio[[#This Row],[ميعاد الطلب]])</f>
        <v>13</v>
      </c>
      <c r="S33" s="9">
        <f>IF(OR(ISBLANK(masio[[#This Row],[تاريخ التسليم]]),ISBLANK(masio[[#This Row],[ميعاد الطلب]])),0,masio[[#This Row],[تاريخ التسليم]]-masio[[#This Row],[ميعاد الطلب]])</f>
        <v>22</v>
      </c>
      <c r="T33" t="s">
        <v>177</v>
      </c>
      <c r="U33" t="s">
        <v>176</v>
      </c>
      <c r="V33" t="str">
        <f>IF(masio[[#This Row],[مده التسليم الفعليه]]=masio[[#This Row],[مده التسليم الاساسيه]],"في الموعد","خارج الموعد")</f>
        <v>خارج الموعد</v>
      </c>
    </row>
    <row r="34" spans="1:22" ht="20.100000000000001" customHeight="1" x14ac:dyDescent="0.3">
      <c r="A34" t="s">
        <v>54</v>
      </c>
      <c r="B34" t="s">
        <v>276</v>
      </c>
      <c r="C34" t="s">
        <v>282</v>
      </c>
      <c r="D34" t="s">
        <v>55</v>
      </c>
      <c r="E34" t="s">
        <v>6</v>
      </c>
      <c r="F34" t="s">
        <v>246</v>
      </c>
      <c r="G34" t="s">
        <v>171</v>
      </c>
      <c r="H34"/>
      <c r="I34"/>
      <c r="J34"/>
      <c r="K34"/>
      <c r="L34" t="s">
        <v>56</v>
      </c>
      <c r="M34">
        <v>7849</v>
      </c>
      <c r="N34" t="s">
        <v>13</v>
      </c>
      <c r="O34" s="7">
        <v>45539</v>
      </c>
      <c r="P34" s="7">
        <v>45551</v>
      </c>
      <c r="Q34" s="7">
        <v>45560</v>
      </c>
      <c r="R34" s="9">
        <f>IF(OR(ISBLANK(masio[[#This Row],[ميعاد التسليم]]),ISBLANK(masio[[#This Row],[ميعاد الطلب]])),0,masio[[#This Row],[ميعاد التسليم]]-masio[[#This Row],[ميعاد الطلب]])</f>
        <v>12</v>
      </c>
      <c r="S34" s="9">
        <f>IF(OR(ISBLANK(masio[[#This Row],[تاريخ التسليم]]),ISBLANK(masio[[#This Row],[ميعاد الطلب]])),0,masio[[#This Row],[تاريخ التسليم]]-masio[[#This Row],[ميعاد الطلب]])</f>
        <v>21</v>
      </c>
      <c r="T34" t="s">
        <v>23</v>
      </c>
      <c r="U34" t="s">
        <v>183</v>
      </c>
      <c r="V34" t="str">
        <f>IF(masio[[#This Row],[مده التسليم الفعليه]]=masio[[#This Row],[مده التسليم الاساسيه]],"في الموعد","خارج الموعد")</f>
        <v>خارج الموعد</v>
      </c>
    </row>
    <row r="35" spans="1:22" ht="20.100000000000001" customHeight="1" x14ac:dyDescent="0.3">
      <c r="A35" t="s">
        <v>101</v>
      </c>
      <c r="B35" t="s">
        <v>276</v>
      </c>
      <c r="C35" t="s">
        <v>282</v>
      </c>
      <c r="D35" t="s">
        <v>99</v>
      </c>
      <c r="E35" t="s">
        <v>6</v>
      </c>
      <c r="F35" t="s">
        <v>139</v>
      </c>
      <c r="G35" t="s">
        <v>158</v>
      </c>
      <c r="H35" t="s">
        <v>144</v>
      </c>
      <c r="I35">
        <v>90</v>
      </c>
      <c r="J35" t="s">
        <v>303</v>
      </c>
      <c r="K35"/>
      <c r="L35" s="6" t="s">
        <v>102</v>
      </c>
      <c r="M35">
        <v>17249</v>
      </c>
      <c r="N35" t="s">
        <v>13</v>
      </c>
      <c r="O35" s="7">
        <v>45548</v>
      </c>
      <c r="P35" s="7">
        <v>45565</v>
      </c>
      <c r="Q35" s="7">
        <v>45569</v>
      </c>
      <c r="R35" s="9">
        <f>IF(OR(ISBLANK(masio[[#This Row],[ميعاد التسليم]]),ISBLANK(masio[[#This Row],[ميعاد الطلب]])),0,masio[[#This Row],[ميعاد التسليم]]-masio[[#This Row],[ميعاد الطلب]])</f>
        <v>17</v>
      </c>
      <c r="S35" s="9">
        <f>IF(OR(ISBLANK(masio[[#This Row],[تاريخ التسليم]]),ISBLANK(masio[[#This Row],[ميعاد الطلب]])),0,masio[[#This Row],[تاريخ التسليم]]-masio[[#This Row],[ميعاد الطلب]])</f>
        <v>21</v>
      </c>
      <c r="T35" t="s">
        <v>177</v>
      </c>
      <c r="U35" t="s">
        <v>176</v>
      </c>
      <c r="V35" t="str">
        <f>IF(masio[[#This Row],[مده التسليم الفعليه]]=masio[[#This Row],[مده التسليم الاساسيه]],"في الموعد","خارج الموعد")</f>
        <v>خارج الموعد</v>
      </c>
    </row>
    <row r="36" spans="1:22" ht="20.100000000000001" customHeight="1" x14ac:dyDescent="0.3">
      <c r="A36" t="s">
        <v>75</v>
      </c>
      <c r="B36" t="s">
        <v>275</v>
      </c>
      <c r="C36" t="s">
        <v>278</v>
      </c>
      <c r="D36" t="s">
        <v>178</v>
      </c>
      <c r="E36" t="s">
        <v>49</v>
      </c>
      <c r="F36" t="s">
        <v>139</v>
      </c>
      <c r="G36" t="s">
        <v>153</v>
      </c>
      <c r="H36" t="s">
        <v>144</v>
      </c>
      <c r="I36">
        <v>80</v>
      </c>
      <c r="J36" t="s">
        <v>154</v>
      </c>
      <c r="K36"/>
      <c r="L36"/>
      <c r="M36">
        <v>5074</v>
      </c>
      <c r="N36" t="s">
        <v>77</v>
      </c>
      <c r="O36" s="7">
        <v>45556</v>
      </c>
      <c r="P36" s="7">
        <v>45570</v>
      </c>
      <c r="Q36" s="7">
        <v>45577</v>
      </c>
      <c r="R36" s="9">
        <f>IF(OR(ISBLANK(masio[[#This Row],[ميعاد التسليم]]),ISBLANK(masio[[#This Row],[ميعاد الطلب]])),0,masio[[#This Row],[ميعاد التسليم]]-masio[[#This Row],[ميعاد الطلب]])</f>
        <v>14</v>
      </c>
      <c r="S36" s="9">
        <f>IF(OR(ISBLANK(masio[[#This Row],[تاريخ التسليم]]),ISBLANK(masio[[#This Row],[ميعاد الطلب]])),0,masio[[#This Row],[تاريخ التسليم]]-masio[[#This Row],[ميعاد الطلب]])</f>
        <v>21</v>
      </c>
      <c r="T36" t="s">
        <v>177</v>
      </c>
      <c r="U36" t="s">
        <v>176</v>
      </c>
      <c r="V36" t="str">
        <f>IF(masio[[#This Row],[مده التسليم الفعليه]]=masio[[#This Row],[مده التسليم الاساسيه]],"في الموعد","خارج الموعد")</f>
        <v>خارج الموعد</v>
      </c>
    </row>
    <row r="37" spans="1:22" ht="20.100000000000001" customHeight="1" x14ac:dyDescent="0.3">
      <c r="A37" t="s">
        <v>26</v>
      </c>
      <c r="B37" t="s">
        <v>275</v>
      </c>
      <c r="C37"/>
      <c r="D37"/>
      <c r="E37" t="s">
        <v>45</v>
      </c>
      <c r="F37" t="s">
        <v>139</v>
      </c>
      <c r="G37" t="s">
        <v>153</v>
      </c>
      <c r="H37" t="s">
        <v>143</v>
      </c>
      <c r="I37">
        <v>100</v>
      </c>
      <c r="J37" t="s">
        <v>154</v>
      </c>
      <c r="K37"/>
      <c r="L37" s="6" t="s">
        <v>44</v>
      </c>
      <c r="M37">
        <v>9208</v>
      </c>
      <c r="N37" t="s">
        <v>287</v>
      </c>
      <c r="O37" s="7">
        <v>45536</v>
      </c>
      <c r="P37" s="7">
        <v>45554</v>
      </c>
      <c r="Q37" s="7">
        <v>45556</v>
      </c>
      <c r="R37" s="9">
        <f>IF(OR(ISBLANK(masio[[#This Row],[ميعاد التسليم]]),ISBLANK(masio[[#This Row],[ميعاد الطلب]])),0,masio[[#This Row],[ميعاد التسليم]]-masio[[#This Row],[ميعاد الطلب]])</f>
        <v>18</v>
      </c>
      <c r="S37" s="9">
        <f>IF(OR(ISBLANK(masio[[#This Row],[تاريخ التسليم]]),ISBLANK(masio[[#This Row],[ميعاد الطلب]])),0,masio[[#This Row],[تاريخ التسليم]]-masio[[#This Row],[ميعاد الطلب]])</f>
        <v>20</v>
      </c>
      <c r="T37" t="s">
        <v>177</v>
      </c>
      <c r="U37" t="s">
        <v>176</v>
      </c>
      <c r="V37" t="str">
        <f>IF(masio[[#This Row],[مده التسليم الفعليه]]=masio[[#This Row],[مده التسليم الاساسيه]],"في الموعد","خارج الموعد")</f>
        <v>خارج الموعد</v>
      </c>
    </row>
    <row r="38" spans="1:22" ht="20.100000000000001" customHeight="1" x14ac:dyDescent="0.3">
      <c r="A38" t="s">
        <v>26</v>
      </c>
      <c r="B38" t="s">
        <v>275</v>
      </c>
      <c r="C38"/>
      <c r="D38"/>
      <c r="E38" t="s">
        <v>45</v>
      </c>
      <c r="F38" t="s">
        <v>139</v>
      </c>
      <c r="G38" t="s">
        <v>153</v>
      </c>
      <c r="H38" t="s">
        <v>143</v>
      </c>
      <c r="I38">
        <v>100</v>
      </c>
      <c r="J38" t="s">
        <v>303</v>
      </c>
      <c r="K38"/>
      <c r="L38" s="6" t="s">
        <v>46</v>
      </c>
      <c r="M38">
        <v>9208</v>
      </c>
      <c r="N38" t="s">
        <v>287</v>
      </c>
      <c r="O38" s="7">
        <v>45536</v>
      </c>
      <c r="P38" s="7">
        <v>45554</v>
      </c>
      <c r="Q38" s="7">
        <v>45556</v>
      </c>
      <c r="R38" s="9">
        <f>IF(OR(ISBLANK(masio[[#This Row],[ميعاد التسليم]]),ISBLANK(masio[[#This Row],[ميعاد الطلب]])),0,masio[[#This Row],[ميعاد التسليم]]-masio[[#This Row],[ميعاد الطلب]])</f>
        <v>18</v>
      </c>
      <c r="S38" s="9">
        <f>IF(OR(ISBLANK(masio[[#This Row],[تاريخ التسليم]]),ISBLANK(masio[[#This Row],[ميعاد الطلب]])),0,masio[[#This Row],[تاريخ التسليم]]-masio[[#This Row],[ميعاد الطلب]])</f>
        <v>20</v>
      </c>
      <c r="T38" t="s">
        <v>177</v>
      </c>
      <c r="U38" t="s">
        <v>176</v>
      </c>
      <c r="V38" t="str">
        <f>IF(masio[[#This Row],[مده التسليم الفعليه]]=masio[[#This Row],[مده التسليم الاساسيه]],"في الموعد","خارج الموعد")</f>
        <v>خارج الموعد</v>
      </c>
    </row>
    <row r="39" spans="1:22" ht="20.100000000000001" customHeight="1" x14ac:dyDescent="0.3">
      <c r="A39" t="s">
        <v>87</v>
      </c>
      <c r="B39" t="s">
        <v>276</v>
      </c>
      <c r="C39" t="s">
        <v>282</v>
      </c>
      <c r="D39" t="s">
        <v>60</v>
      </c>
      <c r="E39" t="s">
        <v>6</v>
      </c>
      <c r="F39" t="s">
        <v>139</v>
      </c>
      <c r="G39" t="s">
        <v>142</v>
      </c>
      <c r="H39" t="s">
        <v>145</v>
      </c>
      <c r="I39">
        <v>120</v>
      </c>
      <c r="J39" t="s">
        <v>303</v>
      </c>
      <c r="K39"/>
      <c r="L39" s="6" t="s">
        <v>88</v>
      </c>
      <c r="M39">
        <v>7460</v>
      </c>
      <c r="N39" t="s">
        <v>13</v>
      </c>
      <c r="O39" s="7">
        <v>45548</v>
      </c>
      <c r="P39" s="7">
        <v>45561</v>
      </c>
      <c r="Q39" s="7">
        <v>45568</v>
      </c>
      <c r="R39" s="9">
        <f>IF(OR(ISBLANK(masio[[#This Row],[ميعاد التسليم]]),ISBLANK(masio[[#This Row],[ميعاد الطلب]])),0,masio[[#This Row],[ميعاد التسليم]]-masio[[#This Row],[ميعاد الطلب]])</f>
        <v>13</v>
      </c>
      <c r="S39" s="9">
        <f>IF(OR(ISBLANK(masio[[#This Row],[تاريخ التسليم]]),ISBLANK(masio[[#This Row],[ميعاد الطلب]])),0,masio[[#This Row],[تاريخ التسليم]]-masio[[#This Row],[ميعاد الطلب]])</f>
        <v>20</v>
      </c>
      <c r="T39" t="s">
        <v>177</v>
      </c>
      <c r="U39" t="s">
        <v>176</v>
      </c>
      <c r="V39" t="str">
        <f>IF(masio[[#This Row],[مده التسليم الفعليه]]=masio[[#This Row],[مده التسليم الاساسيه]],"في الموعد","خارج الموعد")</f>
        <v>خارج الموعد</v>
      </c>
    </row>
    <row r="40" spans="1:22" ht="20.100000000000001" customHeight="1" x14ac:dyDescent="0.3">
      <c r="A40" t="s">
        <v>91</v>
      </c>
      <c r="B40" t="s">
        <v>276</v>
      </c>
      <c r="C40" t="s">
        <v>282</v>
      </c>
      <c r="D40" t="s">
        <v>60</v>
      </c>
      <c r="E40" t="s">
        <v>6</v>
      </c>
      <c r="F40" t="s">
        <v>139</v>
      </c>
      <c r="G40" t="s">
        <v>142</v>
      </c>
      <c r="H40" t="s">
        <v>164</v>
      </c>
      <c r="I40">
        <v>140</v>
      </c>
      <c r="J40" t="s">
        <v>162</v>
      </c>
      <c r="K40" t="s">
        <v>159</v>
      </c>
      <c r="L40" s="6" t="s">
        <v>92</v>
      </c>
      <c r="M40">
        <v>9528</v>
      </c>
      <c r="N40" t="s">
        <v>13</v>
      </c>
      <c r="O40" s="7">
        <v>45548</v>
      </c>
      <c r="P40" s="7">
        <v>45561</v>
      </c>
      <c r="Q40" s="7">
        <v>45568</v>
      </c>
      <c r="R40" s="9">
        <f>IF(OR(ISBLANK(masio[[#This Row],[ميعاد التسليم]]),ISBLANK(masio[[#This Row],[ميعاد الطلب]])),0,masio[[#This Row],[ميعاد التسليم]]-masio[[#This Row],[ميعاد الطلب]])</f>
        <v>13</v>
      </c>
      <c r="S40" s="9">
        <f>IF(OR(ISBLANK(masio[[#This Row],[تاريخ التسليم]]),ISBLANK(masio[[#This Row],[ميعاد الطلب]])),0,masio[[#This Row],[تاريخ التسليم]]-masio[[#This Row],[ميعاد الطلب]])</f>
        <v>20</v>
      </c>
      <c r="T40" t="s">
        <v>177</v>
      </c>
      <c r="U40" t="s">
        <v>176</v>
      </c>
      <c r="V40" t="str">
        <f>IF(masio[[#This Row],[مده التسليم الفعليه]]=masio[[#This Row],[مده التسليم الاساسيه]],"في الموعد","خارج الموعد")</f>
        <v>خارج الموعد</v>
      </c>
    </row>
    <row r="41" spans="1:22" ht="20.100000000000001" customHeight="1" x14ac:dyDescent="0.3">
      <c r="A41" t="s">
        <v>68</v>
      </c>
      <c r="B41" t="s">
        <v>276</v>
      </c>
      <c r="C41" t="s">
        <v>278</v>
      </c>
      <c r="D41" t="s">
        <v>69</v>
      </c>
      <c r="E41" t="s">
        <v>6</v>
      </c>
      <c r="F41" t="s">
        <v>139</v>
      </c>
      <c r="G41" t="s">
        <v>153</v>
      </c>
      <c r="H41" t="s">
        <v>144</v>
      </c>
      <c r="I41">
        <v>100</v>
      </c>
      <c r="J41" t="s">
        <v>303</v>
      </c>
      <c r="K41"/>
      <c r="L41" t="s">
        <v>71</v>
      </c>
      <c r="M41">
        <v>11949</v>
      </c>
      <c r="N41" t="s">
        <v>287</v>
      </c>
      <c r="O41" s="7">
        <v>45547</v>
      </c>
      <c r="P41" s="7">
        <v>45564</v>
      </c>
      <c r="Q41" s="7">
        <v>45567</v>
      </c>
      <c r="R41" s="9">
        <f>IF(OR(ISBLANK(masio[[#This Row],[ميعاد التسليم]]),ISBLANK(masio[[#This Row],[ميعاد الطلب]])),0,masio[[#This Row],[ميعاد التسليم]]-masio[[#This Row],[ميعاد الطلب]])</f>
        <v>17</v>
      </c>
      <c r="S41" s="9">
        <f>IF(OR(ISBLANK(masio[[#This Row],[تاريخ التسليم]]),ISBLANK(masio[[#This Row],[ميعاد الطلب]])),0,masio[[#This Row],[تاريخ التسليم]]-masio[[#This Row],[ميعاد الطلب]])</f>
        <v>20</v>
      </c>
      <c r="T41" t="s">
        <v>177</v>
      </c>
      <c r="U41" t="s">
        <v>176</v>
      </c>
      <c r="V41" t="str">
        <f>IF(masio[[#This Row],[مده التسليم الفعليه]]=masio[[#This Row],[مده التسليم الاساسيه]],"في الموعد","خارج الموعد")</f>
        <v>خارج الموعد</v>
      </c>
    </row>
    <row r="42" spans="1:22" ht="20.100000000000001" customHeight="1" x14ac:dyDescent="0.3">
      <c r="A42" t="s">
        <v>28</v>
      </c>
      <c r="B42" t="s">
        <v>276</v>
      </c>
      <c r="C42" t="s">
        <v>282</v>
      </c>
      <c r="D42" t="s">
        <v>80</v>
      </c>
      <c r="E42" t="s">
        <v>6</v>
      </c>
      <c r="F42" t="s">
        <v>139</v>
      </c>
      <c r="G42" t="s">
        <v>158</v>
      </c>
      <c r="H42" t="s">
        <v>144</v>
      </c>
      <c r="I42">
        <v>80</v>
      </c>
      <c r="J42" t="s">
        <v>154</v>
      </c>
      <c r="K42"/>
      <c r="L42" s="6" t="s">
        <v>83</v>
      </c>
      <c r="M42">
        <v>16599</v>
      </c>
      <c r="N42" t="s">
        <v>13</v>
      </c>
      <c r="O42" s="7">
        <v>45548</v>
      </c>
      <c r="P42" s="7">
        <v>45565</v>
      </c>
      <c r="Q42" s="7">
        <v>45568</v>
      </c>
      <c r="R42" s="9">
        <f>IF(OR(ISBLANK(masio[[#This Row],[ميعاد التسليم]]),ISBLANK(masio[[#This Row],[ميعاد الطلب]])),0,masio[[#This Row],[ميعاد التسليم]]-masio[[#This Row],[ميعاد الطلب]])</f>
        <v>17</v>
      </c>
      <c r="S42" s="9">
        <f>IF(OR(ISBLANK(masio[[#This Row],[تاريخ التسليم]]),ISBLANK(masio[[#This Row],[ميعاد الطلب]])),0,masio[[#This Row],[تاريخ التسليم]]-masio[[#This Row],[ميعاد الطلب]])</f>
        <v>20</v>
      </c>
      <c r="T42" t="s">
        <v>177</v>
      </c>
      <c r="U42" t="s">
        <v>176</v>
      </c>
      <c r="V42" t="str">
        <f>IF(masio[[#This Row],[مده التسليم الفعليه]]=masio[[#This Row],[مده التسليم الاساسيه]],"في الموعد","خارج الموعد")</f>
        <v>خارج الموعد</v>
      </c>
    </row>
    <row r="43" spans="1:22" ht="20.100000000000001" customHeight="1" x14ac:dyDescent="0.3">
      <c r="A43" t="s">
        <v>84</v>
      </c>
      <c r="B43" t="s">
        <v>276</v>
      </c>
      <c r="C43" t="s">
        <v>281</v>
      </c>
      <c r="D43" t="s">
        <v>85</v>
      </c>
      <c r="E43" t="s">
        <v>6</v>
      </c>
      <c r="F43" t="s">
        <v>139</v>
      </c>
      <c r="G43" t="s">
        <v>153</v>
      </c>
      <c r="H43" t="s">
        <v>144</v>
      </c>
      <c r="I43">
        <v>140</v>
      </c>
      <c r="J43" t="s">
        <v>157</v>
      </c>
      <c r="K43"/>
      <c r="L43" s="6" t="s">
        <v>86</v>
      </c>
      <c r="M43">
        <v>13099</v>
      </c>
      <c r="N43" t="s">
        <v>13</v>
      </c>
      <c r="O43" s="7">
        <v>45548</v>
      </c>
      <c r="P43" s="7">
        <v>45565</v>
      </c>
      <c r="Q43" s="7">
        <v>45568</v>
      </c>
      <c r="R43" s="9">
        <f>IF(OR(ISBLANK(masio[[#This Row],[ميعاد التسليم]]),ISBLANK(masio[[#This Row],[ميعاد الطلب]])),0,masio[[#This Row],[ميعاد التسليم]]-masio[[#This Row],[ميعاد الطلب]])</f>
        <v>17</v>
      </c>
      <c r="S43" s="9">
        <f>IF(OR(ISBLANK(masio[[#This Row],[تاريخ التسليم]]),ISBLANK(masio[[#This Row],[ميعاد الطلب]])),0,masio[[#This Row],[تاريخ التسليم]]-masio[[#This Row],[ميعاد الطلب]])</f>
        <v>20</v>
      </c>
      <c r="T43" t="s">
        <v>23</v>
      </c>
      <c r="U43" t="s">
        <v>176</v>
      </c>
      <c r="V43" t="str">
        <f>IF(masio[[#This Row],[مده التسليم الفعليه]]=masio[[#This Row],[مده التسليم الاساسيه]],"في الموعد","خارج الموعد")</f>
        <v>خارج الموعد</v>
      </c>
    </row>
    <row r="44" spans="1:22" ht="20.100000000000001" customHeight="1" x14ac:dyDescent="0.3">
      <c r="A44" t="s">
        <v>200</v>
      </c>
      <c r="B44" t="s">
        <v>276</v>
      </c>
      <c r="C44" t="s">
        <v>282</v>
      </c>
      <c r="D44" t="s">
        <v>94</v>
      </c>
      <c r="E44" t="s">
        <v>6</v>
      </c>
      <c r="F44" t="s">
        <v>139</v>
      </c>
      <c r="G44" t="s">
        <v>153</v>
      </c>
      <c r="H44" t="s">
        <v>201</v>
      </c>
      <c r="I44" t="s">
        <v>202</v>
      </c>
      <c r="J44" t="s">
        <v>203</v>
      </c>
      <c r="K44"/>
      <c r="L44"/>
      <c r="M44">
        <v>12899</v>
      </c>
      <c r="N44" t="s">
        <v>287</v>
      </c>
      <c r="O44" s="7">
        <v>45578</v>
      </c>
      <c r="P44" s="7">
        <v>45643</v>
      </c>
      <c r="Q44" s="7">
        <v>45598</v>
      </c>
      <c r="R44" s="9">
        <f>IF(OR(ISBLANK(masio[[#This Row],[ميعاد التسليم]]),ISBLANK(masio[[#This Row],[ميعاد الطلب]])),0,masio[[#This Row],[ميعاد التسليم]]-masio[[#This Row],[ميعاد الطلب]])</f>
        <v>65</v>
      </c>
      <c r="S44" s="9">
        <f>IF(OR(ISBLANK(masio[[#This Row],[تاريخ التسليم]]),ISBLANK(masio[[#This Row],[ميعاد الطلب]])),0,masio[[#This Row],[تاريخ التسليم]]-masio[[#This Row],[ميعاد الطلب]])</f>
        <v>20</v>
      </c>
      <c r="T44" t="s">
        <v>177</v>
      </c>
      <c r="U44" t="s">
        <v>176</v>
      </c>
      <c r="V44" t="str">
        <f>IF(masio[[#This Row],[مده التسليم الفعليه]]=masio[[#This Row],[مده التسليم الاساسيه]],"في الموعد","خارج الموعد")</f>
        <v>خارج الموعد</v>
      </c>
    </row>
    <row r="45" spans="1:22" ht="20.100000000000001" customHeight="1" x14ac:dyDescent="0.3">
      <c r="A45" t="s">
        <v>131</v>
      </c>
      <c r="B45" t="s">
        <v>276</v>
      </c>
      <c r="C45" t="s">
        <v>278</v>
      </c>
      <c r="D45" t="s">
        <v>32</v>
      </c>
      <c r="E45" t="s">
        <v>6</v>
      </c>
      <c r="F45" t="s">
        <v>139</v>
      </c>
      <c r="G45" t="s">
        <v>153</v>
      </c>
      <c r="H45" t="s">
        <v>144</v>
      </c>
      <c r="I45">
        <v>120</v>
      </c>
      <c r="J45" t="s">
        <v>159</v>
      </c>
      <c r="K45"/>
      <c r="L45" s="6" t="s">
        <v>132</v>
      </c>
      <c r="M45">
        <v>12999</v>
      </c>
      <c r="N45" t="s">
        <v>13</v>
      </c>
      <c r="O45" s="7">
        <v>45549</v>
      </c>
      <c r="P45" s="7">
        <v>45562</v>
      </c>
      <c r="Q45" s="7">
        <v>45567</v>
      </c>
      <c r="R45" s="9">
        <f>IF(OR(ISBLANK(masio[[#This Row],[ميعاد التسليم]]),ISBLANK(masio[[#This Row],[ميعاد الطلب]])),0,masio[[#This Row],[ميعاد التسليم]]-masio[[#This Row],[ميعاد الطلب]])</f>
        <v>13</v>
      </c>
      <c r="S45" s="9">
        <f>IF(OR(ISBLANK(masio[[#This Row],[تاريخ التسليم]]),ISBLANK(masio[[#This Row],[ميعاد الطلب]])),0,masio[[#This Row],[تاريخ التسليم]]-masio[[#This Row],[ميعاد الطلب]])</f>
        <v>18</v>
      </c>
      <c r="T45" t="s">
        <v>177</v>
      </c>
      <c r="U45" t="s">
        <v>176</v>
      </c>
      <c r="V45" t="str">
        <f>IF(masio[[#This Row],[مده التسليم الفعليه]]=masio[[#This Row],[مده التسليم الاساسيه]],"في الموعد","خارج الموعد")</f>
        <v>خارج الموعد</v>
      </c>
    </row>
    <row r="46" spans="1:22" ht="20.100000000000001" customHeight="1" x14ac:dyDescent="0.3">
      <c r="A46" t="s">
        <v>96</v>
      </c>
      <c r="B46" t="s">
        <v>276</v>
      </c>
      <c r="C46" t="s">
        <v>278</v>
      </c>
      <c r="D46" t="s">
        <v>32</v>
      </c>
      <c r="E46" t="s">
        <v>6</v>
      </c>
      <c r="F46" t="s">
        <v>139</v>
      </c>
      <c r="G46" t="s">
        <v>140</v>
      </c>
      <c r="H46"/>
      <c r="I46"/>
      <c r="J46" t="s">
        <v>303</v>
      </c>
      <c r="K46" t="s">
        <v>155</v>
      </c>
      <c r="L46" s="6" t="s">
        <v>97</v>
      </c>
      <c r="M46">
        <v>9399</v>
      </c>
      <c r="N46" t="s">
        <v>13</v>
      </c>
      <c r="O46" s="7">
        <v>45548</v>
      </c>
      <c r="P46" s="7">
        <v>45559</v>
      </c>
      <c r="Q46" s="7">
        <v>45565</v>
      </c>
      <c r="R46" s="9">
        <f>IF(OR(ISBLANK(masio[[#This Row],[ميعاد التسليم]]),ISBLANK(masio[[#This Row],[ميعاد الطلب]])),0,masio[[#This Row],[ميعاد التسليم]]-masio[[#This Row],[ميعاد الطلب]])</f>
        <v>11</v>
      </c>
      <c r="S46" s="9">
        <f>IF(OR(ISBLANK(masio[[#This Row],[تاريخ التسليم]]),ISBLANK(masio[[#This Row],[ميعاد الطلب]])),0,masio[[#This Row],[تاريخ التسليم]]-masio[[#This Row],[ميعاد الطلب]])</f>
        <v>17</v>
      </c>
      <c r="T46" t="s">
        <v>23</v>
      </c>
      <c r="U46" t="s">
        <v>176</v>
      </c>
      <c r="V46" t="str">
        <f>IF(masio[[#This Row],[مده التسليم الفعليه]]=masio[[#This Row],[مده التسليم الاساسيه]],"في الموعد","خارج الموعد")</f>
        <v>خارج الموعد</v>
      </c>
    </row>
    <row r="47" spans="1:22" ht="20.100000000000001" customHeight="1" x14ac:dyDescent="0.3">
      <c r="A47" t="s">
        <v>116</v>
      </c>
      <c r="B47" t="s">
        <v>276</v>
      </c>
      <c r="C47" t="s">
        <v>282</v>
      </c>
      <c r="D47" t="s">
        <v>80</v>
      </c>
      <c r="E47" t="s">
        <v>6</v>
      </c>
      <c r="F47" t="s">
        <v>139</v>
      </c>
      <c r="G47" t="s">
        <v>153</v>
      </c>
      <c r="H47" t="s">
        <v>141</v>
      </c>
      <c r="I47">
        <v>100</v>
      </c>
      <c r="J47" t="s">
        <v>159</v>
      </c>
      <c r="K47"/>
      <c r="L47" s="6" t="s">
        <v>117</v>
      </c>
      <c r="M47">
        <v>12399</v>
      </c>
      <c r="N47" t="s">
        <v>13</v>
      </c>
      <c r="O47" s="7">
        <v>45549</v>
      </c>
      <c r="P47" s="7">
        <v>45616</v>
      </c>
      <c r="Q47" s="7">
        <v>45566</v>
      </c>
      <c r="R47" s="9">
        <f>IF(OR(ISBLANK(masio[[#This Row],[ميعاد التسليم]]),ISBLANK(masio[[#This Row],[ميعاد الطلب]])),0,masio[[#This Row],[ميعاد التسليم]]-masio[[#This Row],[ميعاد الطلب]])</f>
        <v>67</v>
      </c>
      <c r="S47" s="9">
        <f>IF(OR(ISBLANK(masio[[#This Row],[تاريخ التسليم]]),ISBLANK(masio[[#This Row],[ميعاد الطلب]])),0,masio[[#This Row],[تاريخ التسليم]]-masio[[#This Row],[ميعاد الطلب]])</f>
        <v>17</v>
      </c>
      <c r="T47" t="s">
        <v>23</v>
      </c>
      <c r="U47" t="s">
        <v>176</v>
      </c>
      <c r="V47" t="str">
        <f>IF(masio[[#This Row],[مده التسليم الفعليه]]=masio[[#This Row],[مده التسليم الاساسيه]],"في الموعد","خارج الموعد")</f>
        <v>خارج الموعد</v>
      </c>
    </row>
    <row r="48" spans="1:22" ht="20.100000000000001" customHeight="1" x14ac:dyDescent="0.3">
      <c r="A48" t="s">
        <v>26</v>
      </c>
      <c r="B48" t="s">
        <v>275</v>
      </c>
      <c r="C48" t="s">
        <v>282</v>
      </c>
      <c r="D48" t="s">
        <v>199</v>
      </c>
      <c r="E48" t="s">
        <v>45</v>
      </c>
      <c r="F48" t="s">
        <v>149</v>
      </c>
      <c r="G48" t="s">
        <v>182</v>
      </c>
      <c r="H48"/>
      <c r="I48"/>
      <c r="J48"/>
      <c r="K48" t="s">
        <v>192</v>
      </c>
      <c r="L48"/>
      <c r="M48">
        <v>14950</v>
      </c>
      <c r="N48" t="s">
        <v>13</v>
      </c>
      <c r="O48" s="7">
        <v>45561</v>
      </c>
      <c r="P48" s="7">
        <v>45579</v>
      </c>
      <c r="Q48" s="7">
        <v>45578</v>
      </c>
      <c r="R48" s="9">
        <f>IF(OR(ISBLANK(masio[[#This Row],[ميعاد التسليم]]),ISBLANK(masio[[#This Row],[ميعاد الطلب]])),0,masio[[#This Row],[ميعاد التسليم]]-masio[[#This Row],[ميعاد الطلب]])</f>
        <v>18</v>
      </c>
      <c r="S48" s="9">
        <f>IF(OR(ISBLANK(masio[[#This Row],[تاريخ التسليم]]),ISBLANK(masio[[#This Row],[ميعاد الطلب]])),0,masio[[#This Row],[تاريخ التسليم]]-masio[[#This Row],[ميعاد الطلب]])</f>
        <v>17</v>
      </c>
      <c r="T48" t="s">
        <v>177</v>
      </c>
      <c r="U48" t="s">
        <v>176</v>
      </c>
      <c r="V48" t="str">
        <f>IF(masio[[#This Row],[مده التسليم الفعليه]]=masio[[#This Row],[مده التسليم الاساسيه]],"في الموعد","خارج الموعد")</f>
        <v>خارج الموعد</v>
      </c>
    </row>
    <row r="49" spans="1:22" ht="20.100000000000001" customHeight="1" x14ac:dyDescent="0.3">
      <c r="A49" t="s">
        <v>268</v>
      </c>
      <c r="B49" t="s">
        <v>276</v>
      </c>
      <c r="C49" t="s">
        <v>278</v>
      </c>
      <c r="D49" t="s">
        <v>233</v>
      </c>
      <c r="E49" t="s">
        <v>6</v>
      </c>
      <c r="F49" t="s">
        <v>139</v>
      </c>
      <c r="G49" t="s">
        <v>153</v>
      </c>
      <c r="H49" t="s">
        <v>141</v>
      </c>
      <c r="I49">
        <v>80</v>
      </c>
      <c r="J49" t="s">
        <v>303</v>
      </c>
      <c r="K49"/>
      <c r="L49"/>
      <c r="M49">
        <v>13099</v>
      </c>
      <c r="N49" t="s">
        <v>287</v>
      </c>
      <c r="O49" s="7">
        <v>45638</v>
      </c>
      <c r="P49" s="7">
        <v>45654</v>
      </c>
      <c r="Q49" s="7">
        <v>45655</v>
      </c>
      <c r="R49" s="9">
        <f>IF(OR(ISBLANK(masio[[#This Row],[ميعاد التسليم]]),ISBLANK(masio[[#This Row],[ميعاد الطلب]])),0,masio[[#This Row],[ميعاد التسليم]]-masio[[#This Row],[ميعاد الطلب]])</f>
        <v>16</v>
      </c>
      <c r="S49" s="9">
        <f>IF(OR(ISBLANK(masio[[#This Row],[تاريخ التسليم]]),ISBLANK(masio[[#This Row],[ميعاد الطلب]])),0,masio[[#This Row],[تاريخ التسليم]]-masio[[#This Row],[ميعاد الطلب]])</f>
        <v>17</v>
      </c>
      <c r="T49" t="s">
        <v>177</v>
      </c>
      <c r="U49" t="s">
        <v>176</v>
      </c>
      <c r="V49" t="str">
        <f>IF(masio[[#This Row],[مده التسليم الفعليه]]=masio[[#This Row],[مده التسليم الاساسيه]],"في الموعد","خارج الموعد")</f>
        <v>خارج الموعد</v>
      </c>
    </row>
    <row r="50" spans="1:22" ht="20.100000000000001" customHeight="1" x14ac:dyDescent="0.3">
      <c r="A50" t="s">
        <v>31</v>
      </c>
      <c r="B50" t="s">
        <v>276</v>
      </c>
      <c r="C50" t="s">
        <v>278</v>
      </c>
      <c r="D50" t="s">
        <v>32</v>
      </c>
      <c r="E50" t="s">
        <v>6</v>
      </c>
      <c r="F50" t="s">
        <v>139</v>
      </c>
      <c r="G50" t="s">
        <v>142</v>
      </c>
      <c r="H50"/>
      <c r="I50"/>
      <c r="J50" t="s">
        <v>154</v>
      </c>
      <c r="K50"/>
      <c r="L50" s="6" t="s">
        <v>33</v>
      </c>
      <c r="M50">
        <v>7228</v>
      </c>
      <c r="N50" t="s">
        <v>13</v>
      </c>
      <c r="O50" s="7">
        <v>45529</v>
      </c>
      <c r="P50" s="7">
        <v>45538</v>
      </c>
      <c r="Q50" s="7">
        <v>45545</v>
      </c>
      <c r="R50" s="9">
        <f>IF(OR(ISBLANK(masio[[#This Row],[ميعاد التسليم]]),ISBLANK(masio[[#This Row],[ميعاد الطلب]])),0,masio[[#This Row],[ميعاد التسليم]]-masio[[#This Row],[ميعاد الطلب]])</f>
        <v>9</v>
      </c>
      <c r="S50" s="9">
        <f>IF(OR(ISBLANK(masio[[#This Row],[تاريخ التسليم]]),ISBLANK(masio[[#This Row],[ميعاد الطلب]])),0,masio[[#This Row],[تاريخ التسليم]]-masio[[#This Row],[ميعاد الطلب]])</f>
        <v>16</v>
      </c>
      <c r="T50" t="s">
        <v>23</v>
      </c>
      <c r="U50" t="s">
        <v>176</v>
      </c>
      <c r="V50" t="str">
        <f>IF(masio[[#This Row],[مده التسليم الفعليه]]=masio[[#This Row],[مده التسليم الاساسيه]],"في الموعد","خارج الموعد")</f>
        <v>خارج الموعد</v>
      </c>
    </row>
    <row r="51" spans="1:22" ht="20.100000000000001" customHeight="1" x14ac:dyDescent="0.3">
      <c r="A51" t="s">
        <v>219</v>
      </c>
      <c r="B51" t="s">
        <v>276</v>
      </c>
      <c r="C51" t="s">
        <v>282</v>
      </c>
      <c r="D51" t="s">
        <v>223</v>
      </c>
      <c r="E51" t="s">
        <v>6</v>
      </c>
      <c r="F51" t="s">
        <v>139</v>
      </c>
      <c r="G51" t="s">
        <v>153</v>
      </c>
      <c r="H51" t="s">
        <v>144</v>
      </c>
      <c r="I51">
        <v>80</v>
      </c>
      <c r="J51" t="s">
        <v>154</v>
      </c>
      <c r="K51"/>
      <c r="L51"/>
      <c r="M51">
        <v>12099</v>
      </c>
      <c r="N51" t="s">
        <v>13</v>
      </c>
      <c r="O51" s="7">
        <v>45607</v>
      </c>
      <c r="P51" s="7">
        <v>45622</v>
      </c>
      <c r="Q51" s="7">
        <v>45623</v>
      </c>
      <c r="R51" s="9">
        <f>IF(OR(ISBLANK(masio[[#This Row],[ميعاد التسليم]]),ISBLANK(masio[[#This Row],[ميعاد الطلب]])),0,masio[[#This Row],[ميعاد التسليم]]-masio[[#This Row],[ميعاد الطلب]])</f>
        <v>15</v>
      </c>
      <c r="S51" s="9">
        <f>IF(OR(ISBLANK(masio[[#This Row],[تاريخ التسليم]]),ISBLANK(masio[[#This Row],[ميعاد الطلب]])),0,masio[[#This Row],[تاريخ التسليم]]-masio[[#This Row],[ميعاد الطلب]])</f>
        <v>16</v>
      </c>
      <c r="T51" t="s">
        <v>177</v>
      </c>
      <c r="U51" t="s">
        <v>176</v>
      </c>
      <c r="V51" t="str">
        <f>IF(masio[[#This Row],[مده التسليم الفعليه]]=masio[[#This Row],[مده التسليم الاساسيه]],"في الموعد","خارج الموعد")</f>
        <v>خارج الموعد</v>
      </c>
    </row>
    <row r="52" spans="1:22" ht="20.100000000000001" customHeight="1" x14ac:dyDescent="0.3">
      <c r="A52" t="s">
        <v>239</v>
      </c>
      <c r="B52" t="s">
        <v>276</v>
      </c>
      <c r="C52" t="s">
        <v>282</v>
      </c>
      <c r="D52" t="s">
        <v>240</v>
      </c>
      <c r="E52" t="s">
        <v>6</v>
      </c>
      <c r="F52" t="s">
        <v>139</v>
      </c>
      <c r="G52" t="s">
        <v>234</v>
      </c>
      <c r="H52" t="s">
        <v>241</v>
      </c>
      <c r="I52">
        <v>120</v>
      </c>
      <c r="J52" t="s">
        <v>159</v>
      </c>
      <c r="K52"/>
      <c r="L52"/>
      <c r="M52">
        <v>10885</v>
      </c>
      <c r="N52" t="s">
        <v>287</v>
      </c>
      <c r="O52" s="7">
        <v>45620</v>
      </c>
      <c r="P52" s="7">
        <v>45631</v>
      </c>
      <c r="Q52" s="7">
        <v>45636</v>
      </c>
      <c r="R52" s="9">
        <f>IF(OR(ISBLANK(masio[[#This Row],[ميعاد التسليم]]),ISBLANK(masio[[#This Row],[ميعاد الطلب]])),0,masio[[#This Row],[ميعاد التسليم]]-masio[[#This Row],[ميعاد الطلب]])</f>
        <v>11</v>
      </c>
      <c r="S52" s="9">
        <f>IF(OR(ISBLANK(masio[[#This Row],[تاريخ التسليم]]),ISBLANK(masio[[#This Row],[ميعاد الطلب]])),0,masio[[#This Row],[تاريخ التسليم]]-masio[[#This Row],[ميعاد الطلب]])</f>
        <v>16</v>
      </c>
      <c r="T52" t="s">
        <v>177</v>
      </c>
      <c r="U52" t="s">
        <v>176</v>
      </c>
      <c r="V52" t="str">
        <f>IF(masio[[#This Row],[مده التسليم الفعليه]]=masio[[#This Row],[مده التسليم الاساسيه]],"في الموعد","خارج الموعد")</f>
        <v>خارج الموعد</v>
      </c>
    </row>
    <row r="53" spans="1:22" ht="20.100000000000001" customHeight="1" x14ac:dyDescent="0.3">
      <c r="A53" t="s">
        <v>28</v>
      </c>
      <c r="B53" t="s">
        <v>276</v>
      </c>
      <c r="C53" t="s">
        <v>282</v>
      </c>
      <c r="D53" t="s">
        <v>60</v>
      </c>
      <c r="E53" t="s">
        <v>6</v>
      </c>
      <c r="F53" t="s">
        <v>139</v>
      </c>
      <c r="G53" t="s">
        <v>142</v>
      </c>
      <c r="H53" t="s">
        <v>163</v>
      </c>
      <c r="I53">
        <v>80</v>
      </c>
      <c r="J53" t="s">
        <v>154</v>
      </c>
      <c r="K53"/>
      <c r="L53" s="6" t="s">
        <v>61</v>
      </c>
      <c r="M53">
        <v>7987</v>
      </c>
      <c r="N53" t="s">
        <v>13</v>
      </c>
      <c r="O53" s="7">
        <v>45541</v>
      </c>
      <c r="P53" s="7">
        <v>45551</v>
      </c>
      <c r="Q53" s="7">
        <v>45556</v>
      </c>
      <c r="R53" s="9">
        <f>IF(OR(ISBLANK(masio[[#This Row],[ميعاد التسليم]]),ISBLANK(masio[[#This Row],[ميعاد الطلب]])),0,masio[[#This Row],[ميعاد التسليم]]-masio[[#This Row],[ميعاد الطلب]])</f>
        <v>10</v>
      </c>
      <c r="S53" s="9">
        <f>IF(OR(ISBLANK(masio[[#This Row],[تاريخ التسليم]]),ISBLANK(masio[[#This Row],[ميعاد الطلب]])),0,masio[[#This Row],[تاريخ التسليم]]-masio[[#This Row],[ميعاد الطلب]])</f>
        <v>15</v>
      </c>
      <c r="T53" t="s">
        <v>177</v>
      </c>
      <c r="U53" t="s">
        <v>176</v>
      </c>
      <c r="V53" t="str">
        <f>IF(masio[[#This Row],[مده التسليم الفعليه]]=masio[[#This Row],[مده التسليم الاساسيه]],"في الموعد","خارج الموعد")</f>
        <v>خارج الموعد</v>
      </c>
    </row>
    <row r="54" spans="1:22" ht="20.100000000000001" customHeight="1" x14ac:dyDescent="0.3">
      <c r="A54" t="s">
        <v>224</v>
      </c>
      <c r="B54" t="s">
        <v>276</v>
      </c>
      <c r="C54" t="s">
        <v>282</v>
      </c>
      <c r="D54" t="s">
        <v>99</v>
      </c>
      <c r="E54" t="s">
        <v>6</v>
      </c>
      <c r="F54" t="s">
        <v>139</v>
      </c>
      <c r="G54" t="s">
        <v>142</v>
      </c>
      <c r="H54" t="s">
        <v>163</v>
      </c>
      <c r="I54">
        <v>160</v>
      </c>
      <c r="J54" t="s">
        <v>160</v>
      </c>
      <c r="K54"/>
      <c r="L54"/>
      <c r="M54">
        <v>11395</v>
      </c>
      <c r="N54" t="s">
        <v>13</v>
      </c>
      <c r="O54" s="7">
        <v>45608</v>
      </c>
      <c r="P54" s="7">
        <v>45620</v>
      </c>
      <c r="Q54" s="7">
        <v>45623</v>
      </c>
      <c r="R54" s="9">
        <f>IF(OR(ISBLANK(masio[[#This Row],[ميعاد التسليم]]),ISBLANK(masio[[#This Row],[ميعاد الطلب]])),0,masio[[#This Row],[ميعاد التسليم]]-masio[[#This Row],[ميعاد الطلب]])</f>
        <v>12</v>
      </c>
      <c r="S54" s="9">
        <f>IF(OR(ISBLANK(masio[[#This Row],[تاريخ التسليم]]),ISBLANK(masio[[#This Row],[ميعاد الطلب]])),0,masio[[#This Row],[تاريخ التسليم]]-masio[[#This Row],[ميعاد الطلب]])</f>
        <v>15</v>
      </c>
      <c r="T54" t="s">
        <v>177</v>
      </c>
      <c r="U54" t="s">
        <v>176</v>
      </c>
      <c r="V54" t="str">
        <f>IF(masio[[#This Row],[مده التسليم الفعليه]]=masio[[#This Row],[مده التسليم الاساسيه]],"في الموعد","خارج الموعد")</f>
        <v>خارج الموعد</v>
      </c>
    </row>
    <row r="55" spans="1:22" ht="20.100000000000001" customHeight="1" x14ac:dyDescent="0.3">
      <c r="A55" t="s">
        <v>263</v>
      </c>
      <c r="B55" t="s">
        <v>276</v>
      </c>
      <c r="C55" t="s">
        <v>285</v>
      </c>
      <c r="D55" t="s">
        <v>125</v>
      </c>
      <c r="E55" t="s">
        <v>6</v>
      </c>
      <c r="F55" t="s">
        <v>139</v>
      </c>
      <c r="G55" t="s">
        <v>140</v>
      </c>
      <c r="H55"/>
      <c r="I55"/>
      <c r="J55" t="s">
        <v>303</v>
      </c>
      <c r="K55" t="s">
        <v>155</v>
      </c>
      <c r="L55"/>
      <c r="M55">
        <v>10249</v>
      </c>
      <c r="N55" t="s">
        <v>287</v>
      </c>
      <c r="O55" s="7">
        <v>45630</v>
      </c>
      <c r="P55" s="7">
        <v>45640</v>
      </c>
      <c r="Q55" s="7">
        <v>45645</v>
      </c>
      <c r="R55" s="9">
        <f>IF(OR(ISBLANK(masio[[#This Row],[ميعاد التسليم]]),ISBLANK(masio[[#This Row],[ميعاد الطلب]])),0,masio[[#This Row],[ميعاد التسليم]]-masio[[#This Row],[ميعاد الطلب]])</f>
        <v>10</v>
      </c>
      <c r="S55" s="9">
        <f>IF(OR(ISBLANK(masio[[#This Row],[تاريخ التسليم]]),ISBLANK(masio[[#This Row],[ميعاد الطلب]])),0,masio[[#This Row],[تاريخ التسليم]]-masio[[#This Row],[ميعاد الطلب]])</f>
        <v>15</v>
      </c>
      <c r="T55" t="s">
        <v>177</v>
      </c>
      <c r="U55" t="s">
        <v>176</v>
      </c>
      <c r="V55" t="str">
        <f>IF(masio[[#This Row],[مده التسليم الفعليه]]=masio[[#This Row],[مده التسليم الاساسيه]],"في الموعد","خارج الموعد")</f>
        <v>خارج الموعد</v>
      </c>
    </row>
    <row r="56" spans="1:22" ht="20.100000000000001" customHeight="1" x14ac:dyDescent="0.3">
      <c r="A56" t="s">
        <v>45</v>
      </c>
      <c r="B56" t="s">
        <v>275</v>
      </c>
      <c r="C56" t="s">
        <v>282</v>
      </c>
      <c r="D56" t="s">
        <v>195</v>
      </c>
      <c r="E56" t="s">
        <v>45</v>
      </c>
      <c r="F56" t="s">
        <v>149</v>
      </c>
      <c r="G56" t="s">
        <v>182</v>
      </c>
      <c r="H56" t="s">
        <v>220</v>
      </c>
      <c r="I56"/>
      <c r="J56" t="s">
        <v>303</v>
      </c>
      <c r="K56" t="s">
        <v>269</v>
      </c>
      <c r="L56"/>
      <c r="M56">
        <v>8700</v>
      </c>
      <c r="N56" t="s">
        <v>77</v>
      </c>
      <c r="O56" s="7">
        <v>45640</v>
      </c>
      <c r="P56" s="7">
        <v>45662</v>
      </c>
      <c r="Q56" s="7">
        <v>45655</v>
      </c>
      <c r="R56" s="9">
        <f>IF(OR(ISBLANK(masio[[#This Row],[ميعاد التسليم]]),ISBLANK(masio[[#This Row],[ميعاد الطلب]])),0,masio[[#This Row],[ميعاد التسليم]]-masio[[#This Row],[ميعاد الطلب]])</f>
        <v>22</v>
      </c>
      <c r="S56" s="9">
        <f>IF(OR(ISBLANK(masio[[#This Row],[تاريخ التسليم]]),ISBLANK(masio[[#This Row],[ميعاد الطلب]])),0,masio[[#This Row],[تاريخ التسليم]]-masio[[#This Row],[ميعاد الطلب]])</f>
        <v>15</v>
      </c>
      <c r="T56" t="s">
        <v>177</v>
      </c>
      <c r="U56" t="s">
        <v>176</v>
      </c>
      <c r="V56" t="str">
        <f>IF(masio[[#This Row],[مده التسليم الفعليه]]=masio[[#This Row],[مده التسليم الاساسيه]],"في الموعد","خارج الموعد")</f>
        <v>خارج الموعد</v>
      </c>
    </row>
    <row r="57" spans="1:22" ht="20.100000000000001" customHeight="1" x14ac:dyDescent="0.3">
      <c r="A57" t="s">
        <v>10</v>
      </c>
      <c r="B57" t="s">
        <v>276</v>
      </c>
      <c r="C57" t="s">
        <v>278</v>
      </c>
      <c r="D57" t="s">
        <v>11</v>
      </c>
      <c r="E57" t="s">
        <v>6</v>
      </c>
      <c r="F57" t="s">
        <v>139</v>
      </c>
      <c r="G57" t="s">
        <v>140</v>
      </c>
      <c r="H57"/>
      <c r="I57"/>
      <c r="J57" t="s">
        <v>154</v>
      </c>
      <c r="K57" t="s">
        <v>155</v>
      </c>
      <c r="L57" s="6" t="s">
        <v>12</v>
      </c>
      <c r="M57">
        <v>10160</v>
      </c>
      <c r="N57" t="s">
        <v>13</v>
      </c>
      <c r="O57" s="7">
        <v>45500</v>
      </c>
      <c r="P57" s="7"/>
      <c r="Q57" s="7">
        <v>45514</v>
      </c>
      <c r="R57" s="9">
        <f>IF(OR(ISBLANK(masio[[#This Row],[ميعاد التسليم]]),ISBLANK(masio[[#This Row],[ميعاد الطلب]])),0,masio[[#This Row],[ميعاد التسليم]]-masio[[#This Row],[ميعاد الطلب]])</f>
        <v>0</v>
      </c>
      <c r="S57" s="9">
        <f>IF(OR(ISBLANK(masio[[#This Row],[تاريخ التسليم]]),ISBLANK(masio[[#This Row],[ميعاد الطلب]])),0,masio[[#This Row],[تاريخ التسليم]]-masio[[#This Row],[ميعاد الطلب]])</f>
        <v>14</v>
      </c>
      <c r="T57" t="s">
        <v>23</v>
      </c>
      <c r="U57" t="s">
        <v>176</v>
      </c>
      <c r="V57" t="str">
        <f>IF(masio[[#This Row],[مده التسليم الفعليه]]=masio[[#This Row],[مده التسليم الاساسيه]],"في الموعد","خارج الموعد")</f>
        <v>خارج الموعد</v>
      </c>
    </row>
    <row r="58" spans="1:22" ht="20.100000000000001" customHeight="1" x14ac:dyDescent="0.3">
      <c r="A58" t="s">
        <v>14</v>
      </c>
      <c r="B58" t="s">
        <v>276</v>
      </c>
      <c r="C58" t="s">
        <v>279</v>
      </c>
      <c r="D58" t="s">
        <v>15</v>
      </c>
      <c r="E58" t="s">
        <v>6</v>
      </c>
      <c r="F58" t="s">
        <v>139</v>
      </c>
      <c r="G58" t="s">
        <v>140</v>
      </c>
      <c r="H58"/>
      <c r="I58"/>
      <c r="J58" t="s">
        <v>303</v>
      </c>
      <c r="K58" t="s">
        <v>155</v>
      </c>
      <c r="L58" s="6" t="s">
        <v>16</v>
      </c>
      <c r="M58">
        <v>10160</v>
      </c>
      <c r="N58" t="s">
        <v>287</v>
      </c>
      <c r="O58" s="7">
        <v>45501</v>
      </c>
      <c r="P58" s="7"/>
      <c r="Q58" s="7">
        <v>45515</v>
      </c>
      <c r="R58" s="9">
        <f>IF(OR(ISBLANK(masio[[#This Row],[ميعاد التسليم]]),ISBLANK(masio[[#This Row],[ميعاد الطلب]])),0,masio[[#This Row],[ميعاد التسليم]]-masio[[#This Row],[ميعاد الطلب]])</f>
        <v>0</v>
      </c>
      <c r="S58" s="9">
        <f>IF(OR(ISBLANK(masio[[#This Row],[تاريخ التسليم]]),ISBLANK(masio[[#This Row],[ميعاد الطلب]])),0,masio[[#This Row],[تاريخ التسليم]]-masio[[#This Row],[ميعاد الطلب]])</f>
        <v>14</v>
      </c>
      <c r="T58" t="s">
        <v>23</v>
      </c>
      <c r="U58" t="s">
        <v>176</v>
      </c>
      <c r="V58" t="str">
        <f>IF(masio[[#This Row],[مده التسليم الفعليه]]=masio[[#This Row],[مده التسليم الاساسيه]],"في الموعد","خارج الموعد")</f>
        <v>خارج الموعد</v>
      </c>
    </row>
    <row r="59" spans="1:22" ht="20.100000000000001" customHeight="1" x14ac:dyDescent="0.3">
      <c r="A59" t="s">
        <v>179</v>
      </c>
      <c r="B59" t="s">
        <v>276</v>
      </c>
      <c r="C59" t="s">
        <v>282</v>
      </c>
      <c r="D59" t="s">
        <v>35</v>
      </c>
      <c r="E59" t="s">
        <v>6</v>
      </c>
      <c r="F59" t="s">
        <v>139</v>
      </c>
      <c r="G59" t="s">
        <v>142</v>
      </c>
      <c r="H59" t="s">
        <v>163</v>
      </c>
      <c r="I59">
        <v>120</v>
      </c>
      <c r="J59" t="s">
        <v>154</v>
      </c>
      <c r="K59"/>
      <c r="L59"/>
      <c r="M59">
        <v>8943</v>
      </c>
      <c r="N59" t="s">
        <v>287</v>
      </c>
      <c r="O59" s="7">
        <v>45561</v>
      </c>
      <c r="P59" s="7">
        <v>45606</v>
      </c>
      <c r="Q59" s="7">
        <v>45575</v>
      </c>
      <c r="R59" s="9">
        <f>IF(OR(ISBLANK(masio[[#This Row],[ميعاد التسليم]]),ISBLANK(masio[[#This Row],[ميعاد الطلب]])),0,masio[[#This Row],[ميعاد التسليم]]-masio[[#This Row],[ميعاد الطلب]])</f>
        <v>45</v>
      </c>
      <c r="S59" s="9">
        <f>IF(OR(ISBLANK(masio[[#This Row],[تاريخ التسليم]]),ISBLANK(masio[[#This Row],[ميعاد الطلب]])),0,masio[[#This Row],[تاريخ التسليم]]-masio[[#This Row],[ميعاد الطلب]])</f>
        <v>14</v>
      </c>
      <c r="T59" t="s">
        <v>177</v>
      </c>
      <c r="U59" t="s">
        <v>176</v>
      </c>
      <c r="V59" t="str">
        <f>IF(masio[[#This Row],[مده التسليم الفعليه]]=masio[[#This Row],[مده التسليم الاساسيه]],"في الموعد","خارج الموعد")</f>
        <v>خارج الموعد</v>
      </c>
    </row>
    <row r="60" spans="1:22" ht="20.100000000000001" customHeight="1" x14ac:dyDescent="0.3">
      <c r="A60" t="s">
        <v>34</v>
      </c>
      <c r="B60" t="s">
        <v>275</v>
      </c>
      <c r="C60" t="s">
        <v>282</v>
      </c>
      <c r="D60" t="s">
        <v>35</v>
      </c>
      <c r="E60" t="s">
        <v>36</v>
      </c>
      <c r="F60" t="s">
        <v>150</v>
      </c>
      <c r="G60" t="s">
        <v>151</v>
      </c>
      <c r="H60"/>
      <c r="I60"/>
      <c r="J60"/>
      <c r="K60"/>
      <c r="L60" t="s">
        <v>57</v>
      </c>
      <c r="M60">
        <v>9300</v>
      </c>
      <c r="N60" t="s">
        <v>287</v>
      </c>
      <c r="O60" s="7">
        <v>45539</v>
      </c>
      <c r="P60" s="7">
        <v>45550</v>
      </c>
      <c r="Q60" s="7">
        <v>45552</v>
      </c>
      <c r="R60" s="9">
        <f>IF(OR(ISBLANK(masio[[#This Row],[ميعاد التسليم]]),ISBLANK(masio[[#This Row],[ميعاد الطلب]])),0,masio[[#This Row],[ميعاد التسليم]]-masio[[#This Row],[ميعاد الطلب]])</f>
        <v>11</v>
      </c>
      <c r="S60" s="9">
        <f>IF(OR(ISBLANK(masio[[#This Row],[تاريخ التسليم]]),ISBLANK(masio[[#This Row],[ميعاد الطلب]])),0,masio[[#This Row],[تاريخ التسليم]]-masio[[#This Row],[ميعاد الطلب]])</f>
        <v>13</v>
      </c>
      <c r="T60" t="s">
        <v>177</v>
      </c>
      <c r="U60" t="s">
        <v>176</v>
      </c>
      <c r="V60" t="str">
        <f>IF(masio[[#This Row],[مده التسليم الفعليه]]=masio[[#This Row],[مده التسليم الاساسيه]],"في الموعد","خارج الموعد")</f>
        <v>خارج الموعد</v>
      </c>
    </row>
    <row r="61" spans="1:22" ht="20.100000000000001" customHeight="1" x14ac:dyDescent="0.3">
      <c r="A61" t="s">
        <v>75</v>
      </c>
      <c r="B61" t="s">
        <v>275</v>
      </c>
      <c r="C61" t="s">
        <v>278</v>
      </c>
      <c r="D61" t="s">
        <v>178</v>
      </c>
      <c r="E61" t="s">
        <v>49</v>
      </c>
      <c r="F61" t="s">
        <v>139</v>
      </c>
      <c r="G61" t="s">
        <v>142</v>
      </c>
      <c r="H61" t="s">
        <v>163</v>
      </c>
      <c r="I61">
        <v>120</v>
      </c>
      <c r="J61" t="s">
        <v>154</v>
      </c>
      <c r="K61"/>
      <c r="L61"/>
      <c r="M61">
        <v>4020</v>
      </c>
      <c r="N61" t="s">
        <v>77</v>
      </c>
      <c r="O61" s="7">
        <v>45564</v>
      </c>
      <c r="P61" s="7">
        <v>45577</v>
      </c>
      <c r="Q61" s="7">
        <v>45577</v>
      </c>
      <c r="R61" s="9">
        <f>IF(OR(ISBLANK(masio[[#This Row],[ميعاد التسليم]]),ISBLANK(masio[[#This Row],[ميعاد الطلب]])),0,masio[[#This Row],[ميعاد التسليم]]-masio[[#This Row],[ميعاد الطلب]])</f>
        <v>13</v>
      </c>
      <c r="S61" s="9">
        <f>IF(OR(ISBLANK(masio[[#This Row],[تاريخ التسليم]]),ISBLANK(masio[[#This Row],[ميعاد الطلب]])),0,masio[[#This Row],[تاريخ التسليم]]-masio[[#This Row],[ميعاد الطلب]])</f>
        <v>13</v>
      </c>
      <c r="T61" t="s">
        <v>177</v>
      </c>
      <c r="U61" t="s">
        <v>176</v>
      </c>
      <c r="V61" t="str">
        <f>IF(masio[[#This Row],[مده التسليم الفعليه]]=masio[[#This Row],[مده التسليم الاساسيه]],"في الموعد","خارج الموعد")</f>
        <v>في الموعد</v>
      </c>
    </row>
    <row r="62" spans="1:22" ht="20.100000000000001" customHeight="1" x14ac:dyDescent="0.3">
      <c r="A62" t="s">
        <v>75</v>
      </c>
      <c r="B62" t="s">
        <v>275</v>
      </c>
      <c r="C62" t="s">
        <v>278</v>
      </c>
      <c r="D62" t="s">
        <v>178</v>
      </c>
      <c r="E62" t="s">
        <v>49</v>
      </c>
      <c r="F62" t="s">
        <v>139</v>
      </c>
      <c r="G62" t="s">
        <v>153</v>
      </c>
      <c r="H62" t="s">
        <v>143</v>
      </c>
      <c r="I62">
        <v>90</v>
      </c>
      <c r="J62" t="s">
        <v>303</v>
      </c>
      <c r="K62"/>
      <c r="L62"/>
      <c r="M62">
        <v>5766</v>
      </c>
      <c r="N62" t="s">
        <v>77</v>
      </c>
      <c r="O62" s="7">
        <v>45608</v>
      </c>
      <c r="P62" s="7">
        <v>45622</v>
      </c>
      <c r="Q62" s="7">
        <v>45621</v>
      </c>
      <c r="R62" s="9">
        <f>IF(OR(ISBLANK(masio[[#This Row],[ميعاد التسليم]]),ISBLANK(masio[[#This Row],[ميعاد الطلب]])),0,masio[[#This Row],[ميعاد التسليم]]-masio[[#This Row],[ميعاد الطلب]])</f>
        <v>14</v>
      </c>
      <c r="S62" s="9">
        <f>IF(OR(ISBLANK(masio[[#This Row],[تاريخ التسليم]]),ISBLANK(masio[[#This Row],[ميعاد الطلب]])),0,masio[[#This Row],[تاريخ التسليم]]-masio[[#This Row],[ميعاد الطلب]])</f>
        <v>13</v>
      </c>
      <c r="T62" t="s">
        <v>177</v>
      </c>
      <c r="U62" t="s">
        <v>176</v>
      </c>
      <c r="V62" t="str">
        <f>IF(masio[[#This Row],[مده التسليم الفعليه]]=masio[[#This Row],[مده التسليم الاساسيه]],"في الموعد","خارج الموعد")</f>
        <v>خارج الموعد</v>
      </c>
    </row>
    <row r="63" spans="1:22" ht="20.100000000000001" customHeight="1" x14ac:dyDescent="0.3">
      <c r="A63" t="s">
        <v>225</v>
      </c>
      <c r="B63" t="s">
        <v>276</v>
      </c>
      <c r="C63" t="s">
        <v>282</v>
      </c>
      <c r="D63" t="s">
        <v>29</v>
      </c>
      <c r="E63" t="s">
        <v>6</v>
      </c>
      <c r="F63" t="s">
        <v>139</v>
      </c>
      <c r="G63" t="s">
        <v>153</v>
      </c>
      <c r="H63" t="s">
        <v>226</v>
      </c>
      <c r="I63">
        <v>80</v>
      </c>
      <c r="J63" t="s">
        <v>154</v>
      </c>
      <c r="K63"/>
      <c r="L63"/>
      <c r="M63">
        <v>12919</v>
      </c>
      <c r="N63" t="s">
        <v>13</v>
      </c>
      <c r="O63" s="7">
        <v>45610</v>
      </c>
      <c r="P63" s="7">
        <v>45626</v>
      </c>
      <c r="Q63" s="7">
        <v>45623</v>
      </c>
      <c r="R63" s="9">
        <f>IF(OR(ISBLANK(masio[[#This Row],[ميعاد التسليم]]),ISBLANK(masio[[#This Row],[ميعاد الطلب]])),0,masio[[#This Row],[ميعاد التسليم]]-masio[[#This Row],[ميعاد الطلب]])</f>
        <v>16</v>
      </c>
      <c r="S63" s="9">
        <f>IF(OR(ISBLANK(masio[[#This Row],[تاريخ التسليم]]),ISBLANK(masio[[#This Row],[ميعاد الطلب]])),0,masio[[#This Row],[تاريخ التسليم]]-masio[[#This Row],[ميعاد الطلب]])</f>
        <v>13</v>
      </c>
      <c r="T63" t="s">
        <v>177</v>
      </c>
      <c r="U63" t="s">
        <v>176</v>
      </c>
      <c r="V63" t="str">
        <f>IF(masio[[#This Row],[مده التسليم الفعليه]]=masio[[#This Row],[مده التسليم الاساسيه]],"في الموعد","خارج الموعد")</f>
        <v>خارج الموعد</v>
      </c>
    </row>
    <row r="64" spans="1:22" ht="20.100000000000001" customHeight="1" x14ac:dyDescent="0.3">
      <c r="A64" t="s">
        <v>47</v>
      </c>
      <c r="B64" t="s">
        <v>276</v>
      </c>
      <c r="C64" t="s">
        <v>282</v>
      </c>
      <c r="D64" t="s">
        <v>48</v>
      </c>
      <c r="E64" t="s">
        <v>49</v>
      </c>
      <c r="F64" t="s">
        <v>139</v>
      </c>
      <c r="G64" t="s">
        <v>153</v>
      </c>
      <c r="H64" t="s">
        <v>144</v>
      </c>
      <c r="I64">
        <v>120</v>
      </c>
      <c r="J64" t="s">
        <v>303</v>
      </c>
      <c r="K64"/>
      <c r="L64" s="6" t="s">
        <v>50</v>
      </c>
      <c r="M64">
        <v>6180</v>
      </c>
      <c r="N64" t="s">
        <v>287</v>
      </c>
      <c r="O64" s="7">
        <v>45538</v>
      </c>
      <c r="P64" s="7">
        <v>45551</v>
      </c>
      <c r="Q64" s="7">
        <v>45550</v>
      </c>
      <c r="R64" s="9">
        <f>IF(OR(ISBLANK(masio[[#This Row],[ميعاد التسليم]]),ISBLANK(masio[[#This Row],[ميعاد الطلب]])),0,masio[[#This Row],[ميعاد التسليم]]-masio[[#This Row],[ميعاد الطلب]])</f>
        <v>13</v>
      </c>
      <c r="S64" s="9">
        <f>IF(OR(ISBLANK(masio[[#This Row],[تاريخ التسليم]]),ISBLANK(masio[[#This Row],[ميعاد الطلب]])),0,masio[[#This Row],[تاريخ التسليم]]-masio[[#This Row],[ميعاد الطلب]])</f>
        <v>12</v>
      </c>
      <c r="T64" t="s">
        <v>177</v>
      </c>
      <c r="U64" t="s">
        <v>176</v>
      </c>
      <c r="V64" t="str">
        <f>IF(masio[[#This Row],[مده التسليم الفعليه]]=masio[[#This Row],[مده التسليم الاساسيه]],"في الموعد","خارج الموعد")</f>
        <v>خارج الموعد</v>
      </c>
    </row>
    <row r="65" spans="1:22" ht="20.100000000000001" customHeight="1" x14ac:dyDescent="0.3">
      <c r="A65" t="s">
        <v>62</v>
      </c>
      <c r="B65" t="s">
        <v>276</v>
      </c>
      <c r="C65" t="s">
        <v>278</v>
      </c>
      <c r="D65" t="s">
        <v>32</v>
      </c>
      <c r="E65" t="s">
        <v>6</v>
      </c>
      <c r="F65" t="s">
        <v>139</v>
      </c>
      <c r="G65" t="s">
        <v>142</v>
      </c>
      <c r="H65" t="s">
        <v>145</v>
      </c>
      <c r="I65">
        <v>120</v>
      </c>
      <c r="J65" t="s">
        <v>154</v>
      </c>
      <c r="K65"/>
      <c r="L65" s="6" t="s">
        <v>63</v>
      </c>
      <c r="M65">
        <v>10987</v>
      </c>
      <c r="N65" t="s">
        <v>13</v>
      </c>
      <c r="O65" s="7">
        <v>45544</v>
      </c>
      <c r="P65" s="7">
        <v>45552</v>
      </c>
      <c r="Q65" s="7">
        <v>45556</v>
      </c>
      <c r="R65" s="9">
        <f>IF(OR(ISBLANK(masio[[#This Row],[ميعاد التسليم]]),ISBLANK(masio[[#This Row],[ميعاد الطلب]])),0,masio[[#This Row],[ميعاد التسليم]]-masio[[#This Row],[ميعاد الطلب]])</f>
        <v>8</v>
      </c>
      <c r="S65" s="9">
        <f>IF(OR(ISBLANK(masio[[#This Row],[تاريخ التسليم]]),ISBLANK(masio[[#This Row],[ميعاد الطلب]])),0,masio[[#This Row],[تاريخ التسليم]]-masio[[#This Row],[ميعاد الطلب]])</f>
        <v>12</v>
      </c>
      <c r="T65" t="s">
        <v>177</v>
      </c>
      <c r="U65" t="s">
        <v>176</v>
      </c>
      <c r="V65" t="str">
        <f>IF(masio[[#This Row],[مده التسليم الفعليه]]=masio[[#This Row],[مده التسليم الاساسيه]],"في الموعد","خارج الموعد")</f>
        <v>خارج الموعد</v>
      </c>
    </row>
    <row r="66" spans="1:22" ht="20.100000000000001" customHeight="1" x14ac:dyDescent="0.3">
      <c r="A66" t="s">
        <v>222</v>
      </c>
      <c r="B66" t="s">
        <v>276</v>
      </c>
      <c r="C66" t="s">
        <v>282</v>
      </c>
      <c r="D66" t="s">
        <v>29</v>
      </c>
      <c r="E66" t="s">
        <v>210</v>
      </c>
      <c r="F66" t="s">
        <v>139</v>
      </c>
      <c r="G66" t="s">
        <v>142</v>
      </c>
      <c r="H66" t="s">
        <v>163</v>
      </c>
      <c r="I66">
        <v>120</v>
      </c>
      <c r="J66" t="s">
        <v>154</v>
      </c>
      <c r="K66"/>
      <c r="L66"/>
      <c r="M66">
        <v>4520</v>
      </c>
      <c r="N66" t="s">
        <v>77</v>
      </c>
      <c r="O66" s="7">
        <v>45606</v>
      </c>
      <c r="P66" s="7">
        <v>45618</v>
      </c>
      <c r="Q66" s="7">
        <v>45617</v>
      </c>
      <c r="R66" s="9">
        <f>IF(OR(ISBLANK(masio[[#This Row],[ميعاد التسليم]]),ISBLANK(masio[[#This Row],[ميعاد الطلب]])),0,masio[[#This Row],[ميعاد التسليم]]-masio[[#This Row],[ميعاد الطلب]])</f>
        <v>12</v>
      </c>
      <c r="S66" s="9">
        <f>IF(OR(ISBLANK(masio[[#This Row],[تاريخ التسليم]]),ISBLANK(masio[[#This Row],[ميعاد الطلب]])),0,masio[[#This Row],[تاريخ التسليم]]-masio[[#This Row],[ميعاد الطلب]])</f>
        <v>11</v>
      </c>
      <c r="T66" t="s">
        <v>177</v>
      </c>
      <c r="U66" t="s">
        <v>176</v>
      </c>
      <c r="V66" t="str">
        <f>IF(masio[[#This Row],[مده التسليم الفعليه]]=masio[[#This Row],[مده التسليم الاساسيه]],"في الموعد","خارج الموعد")</f>
        <v>خارج الموعد</v>
      </c>
    </row>
    <row r="67" spans="1:22" ht="20.100000000000001" customHeight="1" x14ac:dyDescent="0.3">
      <c r="A67" t="s">
        <v>75</v>
      </c>
      <c r="B67" t="s">
        <v>275</v>
      </c>
      <c r="C67" t="s">
        <v>278</v>
      </c>
      <c r="D67" t="s">
        <v>178</v>
      </c>
      <c r="E67" t="s">
        <v>49</v>
      </c>
      <c r="F67" t="s">
        <v>139</v>
      </c>
      <c r="G67" t="s">
        <v>153</v>
      </c>
      <c r="H67" t="s">
        <v>141</v>
      </c>
      <c r="I67">
        <v>120</v>
      </c>
      <c r="J67" t="s">
        <v>159</v>
      </c>
      <c r="K67"/>
      <c r="L67"/>
      <c r="M67">
        <v>6376</v>
      </c>
      <c r="N67" t="s">
        <v>77</v>
      </c>
      <c r="O67" s="7">
        <v>45610</v>
      </c>
      <c r="P67" s="7">
        <v>45623</v>
      </c>
      <c r="Q67" s="7">
        <v>45621</v>
      </c>
      <c r="R67" s="9">
        <f>IF(OR(ISBLANK(masio[[#This Row],[ميعاد التسليم]]),ISBLANK(masio[[#This Row],[ميعاد الطلب]])),0,masio[[#This Row],[ميعاد التسليم]]-masio[[#This Row],[ميعاد الطلب]])</f>
        <v>13</v>
      </c>
      <c r="S67" s="9">
        <f>IF(OR(ISBLANK(masio[[#This Row],[تاريخ التسليم]]),ISBLANK(masio[[#This Row],[ميعاد الطلب]])),0,masio[[#This Row],[تاريخ التسليم]]-masio[[#This Row],[ميعاد الطلب]])</f>
        <v>11</v>
      </c>
      <c r="T67" t="s">
        <v>177</v>
      </c>
      <c r="U67" t="s">
        <v>176</v>
      </c>
      <c r="V67" t="str">
        <f>IF(masio[[#This Row],[مده التسليم الفعليه]]=masio[[#This Row],[مده التسليم الاساسيه]],"في الموعد","خارج الموعد")</f>
        <v>خارج الموعد</v>
      </c>
    </row>
    <row r="68" spans="1:22" ht="20.100000000000001" customHeight="1" x14ac:dyDescent="0.3">
      <c r="A68" t="s">
        <v>75</v>
      </c>
      <c r="B68" t="s">
        <v>275</v>
      </c>
      <c r="C68" t="s">
        <v>278</v>
      </c>
      <c r="D68" t="s">
        <v>227</v>
      </c>
      <c r="E68" t="s">
        <v>49</v>
      </c>
      <c r="F68" t="s">
        <v>139</v>
      </c>
      <c r="G68" t="s">
        <v>228</v>
      </c>
      <c r="H68" t="s">
        <v>141</v>
      </c>
      <c r="I68">
        <v>90</v>
      </c>
      <c r="J68" t="s">
        <v>303</v>
      </c>
      <c r="K68"/>
      <c r="L68"/>
      <c r="M68">
        <v>5294</v>
      </c>
      <c r="N68" t="s">
        <v>77</v>
      </c>
      <c r="O68" s="7">
        <v>45610</v>
      </c>
      <c r="P68" s="7">
        <v>45623</v>
      </c>
      <c r="Q68" s="7">
        <v>45621</v>
      </c>
      <c r="R68" s="9">
        <f>IF(OR(ISBLANK(masio[[#This Row],[ميعاد التسليم]]),ISBLANK(masio[[#This Row],[ميعاد الطلب]])),0,masio[[#This Row],[ميعاد التسليم]]-masio[[#This Row],[ميعاد الطلب]])</f>
        <v>13</v>
      </c>
      <c r="S68" s="9">
        <f>IF(OR(ISBLANK(masio[[#This Row],[تاريخ التسليم]]),ISBLANK(masio[[#This Row],[ميعاد الطلب]])),0,masio[[#This Row],[تاريخ التسليم]]-masio[[#This Row],[ميعاد الطلب]])</f>
        <v>11</v>
      </c>
      <c r="T68" t="s">
        <v>177</v>
      </c>
      <c r="U68" t="s">
        <v>176</v>
      </c>
      <c r="V68" t="str">
        <f>IF(masio[[#This Row],[مده التسليم الفعليه]]=masio[[#This Row],[مده التسليم الاساسيه]],"في الموعد","خارج الموعد")</f>
        <v>خارج الموعد</v>
      </c>
    </row>
    <row r="69" spans="1:22" ht="20.100000000000001" customHeight="1" x14ac:dyDescent="0.3">
      <c r="A69" t="s">
        <v>75</v>
      </c>
      <c r="B69" t="s">
        <v>275</v>
      </c>
      <c r="C69" t="s">
        <v>285</v>
      </c>
      <c r="D69" t="s">
        <v>76</v>
      </c>
      <c r="E69" t="s">
        <v>49</v>
      </c>
      <c r="F69" t="s">
        <v>139</v>
      </c>
      <c r="G69" t="s">
        <v>142</v>
      </c>
      <c r="H69" t="s">
        <v>163</v>
      </c>
      <c r="I69">
        <v>120</v>
      </c>
      <c r="J69" t="s">
        <v>154</v>
      </c>
      <c r="K69"/>
      <c r="L69" s="6" t="s">
        <v>79</v>
      </c>
      <c r="M69">
        <v>4020</v>
      </c>
      <c r="N69" t="s">
        <v>77</v>
      </c>
      <c r="O69" s="7">
        <v>45547</v>
      </c>
      <c r="P69" s="7">
        <v>45556</v>
      </c>
      <c r="Q69" s="7">
        <v>45557</v>
      </c>
      <c r="R69" s="9">
        <f>IF(OR(ISBLANK(masio[[#This Row],[ميعاد التسليم]]),ISBLANK(masio[[#This Row],[ميعاد الطلب]])),0,masio[[#This Row],[ميعاد التسليم]]-masio[[#This Row],[ميعاد الطلب]])</f>
        <v>9</v>
      </c>
      <c r="S69" s="9">
        <f>IF(OR(ISBLANK(masio[[#This Row],[تاريخ التسليم]]),ISBLANK(masio[[#This Row],[ميعاد الطلب]])),0,masio[[#This Row],[تاريخ التسليم]]-masio[[#This Row],[ميعاد الطلب]])</f>
        <v>10</v>
      </c>
      <c r="T69" t="s">
        <v>177</v>
      </c>
      <c r="U69" t="s">
        <v>176</v>
      </c>
      <c r="V69" t="str">
        <f>IF(masio[[#This Row],[مده التسليم الفعليه]]=masio[[#This Row],[مده التسليم الاساسيه]],"في الموعد","خارج الموعد")</f>
        <v>خارج الموعد</v>
      </c>
    </row>
    <row r="70" spans="1:22" ht="20.100000000000001" customHeight="1" x14ac:dyDescent="0.3">
      <c r="A70" t="s">
        <v>75</v>
      </c>
      <c r="B70" t="s">
        <v>275</v>
      </c>
      <c r="C70" t="s">
        <v>285</v>
      </c>
      <c r="D70" t="s">
        <v>76</v>
      </c>
      <c r="E70" t="s">
        <v>49</v>
      </c>
      <c r="F70" t="s">
        <v>139</v>
      </c>
      <c r="G70" t="s">
        <v>142</v>
      </c>
      <c r="H70" t="s">
        <v>156</v>
      </c>
      <c r="I70">
        <v>120</v>
      </c>
      <c r="J70" t="s">
        <v>303</v>
      </c>
      <c r="K70"/>
      <c r="L70" s="6" t="s">
        <v>78</v>
      </c>
      <c r="M70">
        <v>4020</v>
      </c>
      <c r="N70" t="s">
        <v>13</v>
      </c>
      <c r="O70" s="7">
        <v>45547</v>
      </c>
      <c r="P70" s="7">
        <v>45556</v>
      </c>
      <c r="Q70" s="7">
        <v>45557</v>
      </c>
      <c r="R70" s="9">
        <f>IF(OR(ISBLANK(masio[[#This Row],[ميعاد التسليم]]),ISBLANK(masio[[#This Row],[ميعاد الطلب]])),0,masio[[#This Row],[ميعاد التسليم]]-masio[[#This Row],[ميعاد الطلب]])</f>
        <v>9</v>
      </c>
      <c r="S70" s="9">
        <f>IF(OR(ISBLANK(masio[[#This Row],[تاريخ التسليم]]),ISBLANK(masio[[#This Row],[ميعاد الطلب]])),0,masio[[#This Row],[تاريخ التسليم]]-masio[[#This Row],[ميعاد الطلب]])</f>
        <v>10</v>
      </c>
      <c r="T70" t="s">
        <v>177</v>
      </c>
      <c r="U70" t="s">
        <v>176</v>
      </c>
      <c r="V70" t="str">
        <f>IF(masio[[#This Row],[مده التسليم الفعليه]]=masio[[#This Row],[مده التسليم الاساسيه]],"في الموعد","خارج الموعد")</f>
        <v>خارج الموعد</v>
      </c>
    </row>
    <row r="71" spans="1:22" ht="20.100000000000001" customHeight="1" x14ac:dyDescent="0.3">
      <c r="A71" t="s">
        <v>136</v>
      </c>
      <c r="B71" t="s">
        <v>276</v>
      </c>
      <c r="C71" t="s">
        <v>284</v>
      </c>
      <c r="D71" t="s">
        <v>137</v>
      </c>
      <c r="E71" t="s">
        <v>6</v>
      </c>
      <c r="F71" t="s">
        <v>246</v>
      </c>
      <c r="G71" t="s">
        <v>173</v>
      </c>
      <c r="H71"/>
      <c r="I71"/>
      <c r="J71"/>
      <c r="K71"/>
      <c r="L71" t="s">
        <v>138</v>
      </c>
      <c r="M71">
        <v>8349</v>
      </c>
      <c r="N71" t="s">
        <v>13</v>
      </c>
      <c r="O71" s="7">
        <v>45549</v>
      </c>
      <c r="P71" s="7">
        <v>45557</v>
      </c>
      <c r="Q71" s="7">
        <v>45559</v>
      </c>
      <c r="R71" s="9">
        <f>IF(OR(ISBLANK(masio[[#This Row],[ميعاد التسليم]]),ISBLANK(masio[[#This Row],[ميعاد الطلب]])),0,masio[[#This Row],[ميعاد التسليم]]-masio[[#This Row],[ميعاد الطلب]])</f>
        <v>8</v>
      </c>
      <c r="S71" s="9">
        <f>IF(OR(ISBLANK(masio[[#This Row],[تاريخ التسليم]]),ISBLANK(masio[[#This Row],[ميعاد الطلب]])),0,masio[[#This Row],[تاريخ التسليم]]-masio[[#This Row],[ميعاد الطلب]])</f>
        <v>10</v>
      </c>
      <c r="T71" t="s">
        <v>23</v>
      </c>
      <c r="U71" t="s">
        <v>176</v>
      </c>
      <c r="V71" t="str">
        <f>IF(masio[[#This Row],[مده التسليم الفعليه]]=masio[[#This Row],[مده التسليم الاساسيه]],"في الموعد","خارج الموعد")</f>
        <v>خارج الموعد</v>
      </c>
    </row>
    <row r="72" spans="1:22" ht="20.100000000000001" customHeight="1" x14ac:dyDescent="0.3">
      <c r="A72" t="s">
        <v>230</v>
      </c>
      <c r="B72" t="s">
        <v>276</v>
      </c>
      <c r="C72" t="s">
        <v>278</v>
      </c>
      <c r="D72" t="s">
        <v>32</v>
      </c>
      <c r="E72" t="s">
        <v>231</v>
      </c>
      <c r="F72" t="s">
        <v>139</v>
      </c>
      <c r="G72" t="s">
        <v>228</v>
      </c>
      <c r="H72" t="s">
        <v>232</v>
      </c>
      <c r="I72">
        <v>80</v>
      </c>
      <c r="J72" t="s">
        <v>154</v>
      </c>
      <c r="K72"/>
      <c r="L72"/>
      <c r="M72">
        <v>7396</v>
      </c>
      <c r="N72" t="s">
        <v>13</v>
      </c>
      <c r="O72" s="7">
        <v>45613</v>
      </c>
      <c r="P72" s="7">
        <v>45624</v>
      </c>
      <c r="Q72" s="7">
        <v>45622</v>
      </c>
      <c r="R72" s="9">
        <f>IF(OR(ISBLANK(masio[[#This Row],[ميعاد التسليم]]),ISBLANK(masio[[#This Row],[ميعاد الطلب]])),0,masio[[#This Row],[ميعاد التسليم]]-masio[[#This Row],[ميعاد الطلب]])</f>
        <v>11</v>
      </c>
      <c r="S72" s="9">
        <f>IF(OR(ISBLANK(masio[[#This Row],[تاريخ التسليم]]),ISBLANK(masio[[#This Row],[ميعاد الطلب]])),0,masio[[#This Row],[تاريخ التسليم]]-masio[[#This Row],[ميعاد الطلب]])</f>
        <v>9</v>
      </c>
      <c r="T72" t="s">
        <v>177</v>
      </c>
      <c r="U72" t="s">
        <v>176</v>
      </c>
      <c r="V72" t="str">
        <f>IF(masio[[#This Row],[مده التسليم الفعليه]]=masio[[#This Row],[مده التسليم الاساسيه]],"في الموعد","خارج الموعد")</f>
        <v>خارج الموعد</v>
      </c>
    </row>
    <row r="73" spans="1:22" ht="20.100000000000001" customHeight="1" x14ac:dyDescent="0.3">
      <c r="A73" t="s">
        <v>75</v>
      </c>
      <c r="B73" t="s">
        <v>275</v>
      </c>
      <c r="C73" t="s">
        <v>278</v>
      </c>
      <c r="D73" t="s">
        <v>178</v>
      </c>
      <c r="E73" t="s">
        <v>49</v>
      </c>
      <c r="F73" t="s">
        <v>139</v>
      </c>
      <c r="G73" t="s">
        <v>228</v>
      </c>
      <c r="H73" t="s">
        <v>232</v>
      </c>
      <c r="I73">
        <v>90</v>
      </c>
      <c r="J73" t="s">
        <v>157</v>
      </c>
      <c r="K73"/>
      <c r="L73"/>
      <c r="M73">
        <v>5217</v>
      </c>
      <c r="N73" t="s">
        <v>77</v>
      </c>
      <c r="O73" s="7">
        <v>45627</v>
      </c>
      <c r="P73" s="7">
        <v>45640</v>
      </c>
      <c r="Q73" s="7">
        <v>45636</v>
      </c>
      <c r="R73" s="9">
        <f>IF(OR(ISBLANK(masio[[#This Row],[ميعاد التسليم]]),ISBLANK(masio[[#This Row],[ميعاد الطلب]])),0,masio[[#This Row],[ميعاد التسليم]]-masio[[#This Row],[ميعاد الطلب]])</f>
        <v>13</v>
      </c>
      <c r="S73" s="9">
        <f>IF(OR(ISBLANK(masio[[#This Row],[تاريخ التسليم]]),ISBLANK(masio[[#This Row],[ميعاد الطلب]])),0,masio[[#This Row],[تاريخ التسليم]]-masio[[#This Row],[ميعاد الطلب]])</f>
        <v>9</v>
      </c>
      <c r="T73" t="s">
        <v>177</v>
      </c>
      <c r="U73" t="s">
        <v>176</v>
      </c>
      <c r="V73" t="str">
        <f>IF(masio[[#This Row],[مده التسليم الفعليه]]=masio[[#This Row],[مده التسليم الاساسيه]],"في الموعد","خارج الموعد")</f>
        <v>خارج الموعد</v>
      </c>
    </row>
    <row r="74" spans="1:22" ht="20.100000000000001" customHeight="1" x14ac:dyDescent="0.3">
      <c r="A74" t="s">
        <v>184</v>
      </c>
      <c r="B74" t="s">
        <v>276</v>
      </c>
      <c r="C74" t="s">
        <v>185</v>
      </c>
      <c r="D74" t="s">
        <v>185</v>
      </c>
      <c r="E74" t="s">
        <v>186</v>
      </c>
      <c r="F74" t="s">
        <v>139</v>
      </c>
      <c r="G74" t="s">
        <v>153</v>
      </c>
      <c r="H74" t="s">
        <v>187</v>
      </c>
      <c r="I74">
        <v>100</v>
      </c>
      <c r="J74"/>
      <c r="K74"/>
      <c r="L74"/>
      <c r="M74">
        <v>8544.9054400000005</v>
      </c>
      <c r="N74">
        <v>0</v>
      </c>
      <c r="O74" s="7">
        <v>45566</v>
      </c>
      <c r="P74" s="7">
        <v>45574</v>
      </c>
      <c r="Q74" s="7">
        <v>45574</v>
      </c>
      <c r="R74" s="9">
        <f>IF(OR(ISBLANK(masio[[#This Row],[ميعاد التسليم]]),ISBLANK(masio[[#This Row],[ميعاد الطلب]])),0,masio[[#This Row],[ميعاد التسليم]]-masio[[#This Row],[ميعاد الطلب]])</f>
        <v>8</v>
      </c>
      <c r="S74" s="9">
        <f>IF(OR(ISBLANK(masio[[#This Row],[تاريخ التسليم]]),ISBLANK(masio[[#This Row],[ميعاد الطلب]])),0,masio[[#This Row],[تاريخ التسليم]]-masio[[#This Row],[ميعاد الطلب]])</f>
        <v>8</v>
      </c>
      <c r="T74" t="s">
        <v>197</v>
      </c>
      <c r="U74" t="s">
        <v>176</v>
      </c>
      <c r="V74" t="str">
        <f>IF(masio[[#This Row],[مده التسليم الفعليه]]=masio[[#This Row],[مده التسليم الاساسيه]],"في الموعد","خارج الموعد")</f>
        <v>في الموعد</v>
      </c>
    </row>
    <row r="75" spans="1:22" ht="20.100000000000001" customHeight="1" x14ac:dyDescent="0.3">
      <c r="A75" t="s">
        <v>184</v>
      </c>
      <c r="B75" t="s">
        <v>276</v>
      </c>
      <c r="C75" t="s">
        <v>185</v>
      </c>
      <c r="D75" t="s">
        <v>185</v>
      </c>
      <c r="E75" t="s">
        <v>186</v>
      </c>
      <c r="F75" t="s">
        <v>139</v>
      </c>
      <c r="G75" t="s">
        <v>140</v>
      </c>
      <c r="H75"/>
      <c r="I75"/>
      <c r="J75" t="s">
        <v>303</v>
      </c>
      <c r="K75" t="s">
        <v>190</v>
      </c>
      <c r="L75"/>
      <c r="M75">
        <v>4600</v>
      </c>
      <c r="N75">
        <v>0</v>
      </c>
      <c r="O75" s="7">
        <v>45566</v>
      </c>
      <c r="P75" s="7">
        <v>45574</v>
      </c>
      <c r="Q75" s="7">
        <v>45574</v>
      </c>
      <c r="R75" s="9">
        <f>IF(OR(ISBLANK(masio[[#This Row],[ميعاد التسليم]]),ISBLANK(masio[[#This Row],[ميعاد الطلب]])),0,masio[[#This Row],[ميعاد التسليم]]-masio[[#This Row],[ميعاد الطلب]])</f>
        <v>8</v>
      </c>
      <c r="S75" s="9">
        <f>IF(OR(ISBLANK(masio[[#This Row],[تاريخ التسليم]]),ISBLANK(masio[[#This Row],[ميعاد الطلب]])),0,masio[[#This Row],[تاريخ التسليم]]-masio[[#This Row],[ميعاد الطلب]])</f>
        <v>8</v>
      </c>
      <c r="T75" t="s">
        <v>197</v>
      </c>
      <c r="U75" t="s">
        <v>176</v>
      </c>
      <c r="V75" t="str">
        <f>IF(masio[[#This Row],[مده التسليم الفعليه]]=masio[[#This Row],[مده التسليم الاساسيه]],"في الموعد","خارج الموعد")</f>
        <v>في الموعد</v>
      </c>
    </row>
    <row r="76" spans="1:22" ht="20.100000000000001" customHeight="1" x14ac:dyDescent="0.3">
      <c r="A76" t="s">
        <v>184</v>
      </c>
      <c r="B76" t="s">
        <v>276</v>
      </c>
      <c r="C76" t="s">
        <v>185</v>
      </c>
      <c r="D76" t="s">
        <v>185</v>
      </c>
      <c r="E76" t="s">
        <v>186</v>
      </c>
      <c r="F76" t="s">
        <v>149</v>
      </c>
      <c r="G76" t="s">
        <v>188</v>
      </c>
      <c r="H76"/>
      <c r="I76"/>
      <c r="J76" t="s">
        <v>303</v>
      </c>
      <c r="K76" t="s">
        <v>189</v>
      </c>
      <c r="L76"/>
      <c r="M76">
        <v>10000</v>
      </c>
      <c r="N76">
        <v>0</v>
      </c>
      <c r="O76" s="7">
        <v>45566</v>
      </c>
      <c r="P76" s="7">
        <v>45574</v>
      </c>
      <c r="Q76" s="7">
        <v>45574</v>
      </c>
      <c r="R76" s="9">
        <f>IF(OR(ISBLANK(masio[[#This Row],[ميعاد التسليم]]),ISBLANK(masio[[#This Row],[ميعاد الطلب]])),0,masio[[#This Row],[ميعاد التسليم]]-masio[[#This Row],[ميعاد الطلب]])</f>
        <v>8</v>
      </c>
      <c r="S76" s="9">
        <f>IF(OR(ISBLANK(masio[[#This Row],[تاريخ التسليم]]),ISBLANK(masio[[#This Row],[ميعاد الطلب]])),0,masio[[#This Row],[تاريخ التسليم]]-masio[[#This Row],[ميعاد الطلب]])</f>
        <v>8</v>
      </c>
      <c r="T76" t="s">
        <v>197</v>
      </c>
      <c r="U76" t="s">
        <v>176</v>
      </c>
      <c r="V76" t="str">
        <f>IF(masio[[#This Row],[مده التسليم الفعليه]]=masio[[#This Row],[مده التسليم الاساسيه]],"في الموعد","خارج الموعد")</f>
        <v>في الموعد</v>
      </c>
    </row>
    <row r="77" spans="1:22" ht="20.100000000000001" customHeight="1" x14ac:dyDescent="0.3">
      <c r="A77" t="s">
        <v>184</v>
      </c>
      <c r="B77" t="s">
        <v>276</v>
      </c>
      <c r="C77" t="s">
        <v>185</v>
      </c>
      <c r="D77" t="s">
        <v>185</v>
      </c>
      <c r="E77" t="s">
        <v>186</v>
      </c>
      <c r="F77" t="s">
        <v>191</v>
      </c>
      <c r="G77"/>
      <c r="H77"/>
      <c r="I77"/>
      <c r="J77" t="s">
        <v>303</v>
      </c>
      <c r="K77" t="s">
        <v>192</v>
      </c>
      <c r="L77"/>
      <c r="M77">
        <v>10249</v>
      </c>
      <c r="N77">
        <v>0</v>
      </c>
      <c r="O77" s="7">
        <v>45566</v>
      </c>
      <c r="P77" s="7">
        <v>45574</v>
      </c>
      <c r="Q77" s="7">
        <v>45574</v>
      </c>
      <c r="R77" s="9">
        <f>IF(OR(ISBLANK(masio[[#This Row],[ميعاد التسليم]]),ISBLANK(masio[[#This Row],[ميعاد الطلب]])),0,masio[[#This Row],[ميعاد التسليم]]-masio[[#This Row],[ميعاد الطلب]])</f>
        <v>8</v>
      </c>
      <c r="S77" s="9">
        <f>IF(OR(ISBLANK(masio[[#This Row],[تاريخ التسليم]]),ISBLANK(masio[[#This Row],[ميعاد الطلب]])),0,masio[[#This Row],[تاريخ التسليم]]-masio[[#This Row],[ميعاد الطلب]])</f>
        <v>8</v>
      </c>
      <c r="T77" t="s">
        <v>197</v>
      </c>
      <c r="U77" t="s">
        <v>176</v>
      </c>
      <c r="V77" t="str">
        <f>IF(masio[[#This Row],[مده التسليم الفعليه]]=masio[[#This Row],[مده التسليم الاساسيه]],"في الموعد","خارج الموعد")</f>
        <v>في الموعد</v>
      </c>
    </row>
    <row r="78" spans="1:22" ht="20.100000000000001" customHeight="1" x14ac:dyDescent="0.3">
      <c r="A78" t="s">
        <v>26</v>
      </c>
      <c r="B78" t="s">
        <v>275</v>
      </c>
      <c r="C78" t="s">
        <v>278</v>
      </c>
      <c r="D78" t="s">
        <v>198</v>
      </c>
      <c r="E78" t="s">
        <v>45</v>
      </c>
      <c r="F78" t="s">
        <v>149</v>
      </c>
      <c r="G78" t="s">
        <v>182</v>
      </c>
      <c r="H78"/>
      <c r="I78"/>
      <c r="J78" t="s">
        <v>303</v>
      </c>
      <c r="K78" t="s">
        <v>196</v>
      </c>
      <c r="L78"/>
      <c r="M78">
        <v>14550</v>
      </c>
      <c r="N78" t="s">
        <v>13</v>
      </c>
      <c r="O78" s="7">
        <v>45572</v>
      </c>
      <c r="P78" s="7">
        <v>45594</v>
      </c>
      <c r="Q78" s="7">
        <v>45580</v>
      </c>
      <c r="R78" s="9">
        <f>IF(OR(ISBLANK(masio[[#This Row],[ميعاد التسليم]]),ISBLANK(masio[[#This Row],[ميعاد الطلب]])),0,masio[[#This Row],[ميعاد التسليم]]-masio[[#This Row],[ميعاد الطلب]])</f>
        <v>22</v>
      </c>
      <c r="S78" s="9">
        <f>IF(OR(ISBLANK(masio[[#This Row],[تاريخ التسليم]]),ISBLANK(masio[[#This Row],[ميعاد الطلب]])),0,masio[[#This Row],[تاريخ التسليم]]-masio[[#This Row],[ميعاد الطلب]])</f>
        <v>8</v>
      </c>
      <c r="T78" t="s">
        <v>177</v>
      </c>
      <c r="U78" t="s">
        <v>176</v>
      </c>
      <c r="V78" t="str">
        <f>IF(masio[[#This Row],[مده التسليم الفعليه]]=masio[[#This Row],[مده التسليم الاساسيه]],"في الموعد","خارج الموعد")</f>
        <v>خارج الموعد</v>
      </c>
    </row>
    <row r="79" spans="1:22" ht="20.100000000000001" customHeight="1" x14ac:dyDescent="0.3">
      <c r="A79" t="s">
        <v>41</v>
      </c>
      <c r="B79" t="s">
        <v>276</v>
      </c>
      <c r="C79" t="s">
        <v>282</v>
      </c>
      <c r="D79" t="s">
        <v>42</v>
      </c>
      <c r="E79" t="s">
        <v>6</v>
      </c>
      <c r="F79" t="s">
        <v>139</v>
      </c>
      <c r="G79" t="s">
        <v>153</v>
      </c>
      <c r="H79" t="s">
        <v>141</v>
      </c>
      <c r="I79">
        <v>80</v>
      </c>
      <c r="J79" t="s">
        <v>154</v>
      </c>
      <c r="K79"/>
      <c r="L79" s="6" t="s">
        <v>43</v>
      </c>
      <c r="M79">
        <v>10499</v>
      </c>
      <c r="N79" t="s">
        <v>287</v>
      </c>
      <c r="O79" s="7">
        <v>45536</v>
      </c>
      <c r="P79" s="7">
        <v>45551</v>
      </c>
      <c r="Q79" s="7">
        <v>45543</v>
      </c>
      <c r="R79" s="9">
        <f>IF(OR(ISBLANK(masio[[#This Row],[ميعاد التسليم]]),ISBLANK(masio[[#This Row],[ميعاد الطلب]])),0,masio[[#This Row],[ميعاد التسليم]]-masio[[#This Row],[ميعاد الطلب]])</f>
        <v>15</v>
      </c>
      <c r="S79" s="9">
        <f>IF(OR(ISBLANK(masio[[#This Row],[تاريخ التسليم]]),ISBLANK(masio[[#This Row],[ميعاد الطلب]])),0,masio[[#This Row],[تاريخ التسليم]]-masio[[#This Row],[ميعاد الطلب]])</f>
        <v>7</v>
      </c>
      <c r="T79" t="s">
        <v>23</v>
      </c>
      <c r="U79" t="s">
        <v>176</v>
      </c>
      <c r="V79" t="str">
        <f>IF(masio[[#This Row],[مده التسليم الفعليه]]=masio[[#This Row],[مده التسليم الاساسيه]],"في الموعد","خارج الموعد")</f>
        <v>خارج الموعد</v>
      </c>
    </row>
    <row r="80" spans="1:22" ht="20.100000000000001" customHeight="1" x14ac:dyDescent="0.3">
      <c r="A80" t="s">
        <v>266</v>
      </c>
      <c r="B80" t="s">
        <v>276</v>
      </c>
      <c r="C80" t="s">
        <v>282</v>
      </c>
      <c r="D80" t="s">
        <v>60</v>
      </c>
      <c r="E80" t="s">
        <v>6</v>
      </c>
      <c r="F80" t="s">
        <v>246</v>
      </c>
      <c r="G80" t="s">
        <v>267</v>
      </c>
      <c r="H80" t="s">
        <v>250</v>
      </c>
      <c r="I80"/>
      <c r="J80" t="s">
        <v>303</v>
      </c>
      <c r="K80" t="s">
        <v>255</v>
      </c>
      <c r="L80"/>
      <c r="M80">
        <v>11199</v>
      </c>
      <c r="N80" t="s">
        <v>287</v>
      </c>
      <c r="O80" s="7">
        <v>45638</v>
      </c>
      <c r="P80" s="7">
        <v>45650</v>
      </c>
      <c r="Q80" s="7">
        <v>45645</v>
      </c>
      <c r="R80" s="9">
        <f>IF(OR(ISBLANK(masio[[#This Row],[ميعاد التسليم]]),ISBLANK(masio[[#This Row],[ميعاد الطلب]])),0,masio[[#This Row],[ميعاد التسليم]]-masio[[#This Row],[ميعاد الطلب]])</f>
        <v>12</v>
      </c>
      <c r="S80" s="9">
        <f>IF(OR(ISBLANK(masio[[#This Row],[تاريخ التسليم]]),ISBLANK(masio[[#This Row],[ميعاد الطلب]])),0,masio[[#This Row],[تاريخ التسليم]]-masio[[#This Row],[ميعاد الطلب]])</f>
        <v>7</v>
      </c>
      <c r="T80" t="s">
        <v>177</v>
      </c>
      <c r="U80" t="s">
        <v>176</v>
      </c>
      <c r="V80" t="str">
        <f>IF(masio[[#This Row],[مده التسليم الفعليه]]=masio[[#This Row],[مده التسليم الاساسيه]],"في الموعد","خارج الموعد")</f>
        <v>خارج الموعد</v>
      </c>
    </row>
    <row r="81" spans="1:22" ht="20.100000000000001" customHeight="1" x14ac:dyDescent="0.3">
      <c r="A81" t="s">
        <v>26</v>
      </c>
      <c r="B81" t="s">
        <v>275</v>
      </c>
      <c r="C81"/>
      <c r="D81"/>
      <c r="E81" t="s">
        <v>45</v>
      </c>
      <c r="F81" t="s">
        <v>149</v>
      </c>
      <c r="G81" t="s">
        <v>182</v>
      </c>
      <c r="H81"/>
      <c r="I81"/>
      <c r="J81" t="s">
        <v>303</v>
      </c>
      <c r="K81"/>
      <c r="L81"/>
      <c r="M81">
        <v>15516</v>
      </c>
      <c r="N81" t="s">
        <v>13</v>
      </c>
      <c r="O81" s="7">
        <v>45589</v>
      </c>
      <c r="P81" s="7">
        <v>45610</v>
      </c>
      <c r="Q81" s="7">
        <v>45595</v>
      </c>
      <c r="R81" s="9">
        <f>IF(OR(ISBLANK(masio[[#This Row],[ميعاد التسليم]]),ISBLANK(masio[[#This Row],[ميعاد الطلب]])),0,masio[[#This Row],[ميعاد التسليم]]-masio[[#This Row],[ميعاد الطلب]])</f>
        <v>21</v>
      </c>
      <c r="S81" s="9">
        <f>IF(OR(ISBLANK(masio[[#This Row],[تاريخ التسليم]]),ISBLANK(masio[[#This Row],[ميعاد الطلب]])),0,masio[[#This Row],[تاريخ التسليم]]-masio[[#This Row],[ميعاد الطلب]])</f>
        <v>6</v>
      </c>
      <c r="T81" t="s">
        <v>177</v>
      </c>
      <c r="U81" t="s">
        <v>176</v>
      </c>
      <c r="V81" t="str">
        <f>IF(masio[[#This Row],[مده التسليم الفعليه]]=masio[[#This Row],[مده التسليم الاساسيه]],"في الموعد","خارج الموعد")</f>
        <v>خارج الموعد</v>
      </c>
    </row>
    <row r="82" spans="1:22" ht="20.100000000000001" customHeight="1" x14ac:dyDescent="0.3">
      <c r="A82" t="s">
        <v>45</v>
      </c>
      <c r="B82" t="s">
        <v>275</v>
      </c>
      <c r="C82" t="s">
        <v>282</v>
      </c>
      <c r="D82" t="s">
        <v>195</v>
      </c>
      <c r="E82" t="s">
        <v>45</v>
      </c>
      <c r="F82" t="s">
        <v>149</v>
      </c>
      <c r="G82" t="s">
        <v>182</v>
      </c>
      <c r="H82" t="s">
        <v>220</v>
      </c>
      <c r="I82"/>
      <c r="J82" t="s">
        <v>303</v>
      </c>
      <c r="K82" t="s">
        <v>221</v>
      </c>
      <c r="L82"/>
      <c r="M82">
        <v>15872</v>
      </c>
      <c r="N82" t="s">
        <v>13</v>
      </c>
      <c r="O82" s="7">
        <v>45604</v>
      </c>
      <c r="P82" s="7">
        <v>45629</v>
      </c>
      <c r="Q82" s="7">
        <v>45610</v>
      </c>
      <c r="R82" s="9">
        <f>IF(OR(ISBLANK(masio[[#This Row],[ميعاد التسليم]]),ISBLANK(masio[[#This Row],[ميعاد الطلب]])),0,masio[[#This Row],[ميعاد التسليم]]-masio[[#This Row],[ميعاد الطلب]])</f>
        <v>25</v>
      </c>
      <c r="S82" s="9">
        <f>IF(OR(ISBLANK(masio[[#This Row],[تاريخ التسليم]]),ISBLANK(masio[[#This Row],[ميعاد الطلب]])),0,masio[[#This Row],[تاريخ التسليم]]-masio[[#This Row],[ميعاد الطلب]])</f>
        <v>6</v>
      </c>
      <c r="T82" t="s">
        <v>177</v>
      </c>
      <c r="U82" t="s">
        <v>176</v>
      </c>
      <c r="V82" t="str">
        <f>IF(masio[[#This Row],[مده التسليم الفعليه]]=masio[[#This Row],[مده التسليم الاساسيه]],"في الموعد","خارج الموعد")</f>
        <v>خارج الموعد</v>
      </c>
    </row>
    <row r="83" spans="1:22" ht="20.100000000000001" customHeight="1" x14ac:dyDescent="0.3">
      <c r="A83" t="s">
        <v>121</v>
      </c>
      <c r="B83" t="s">
        <v>276</v>
      </c>
      <c r="C83" t="s">
        <v>278</v>
      </c>
      <c r="D83" t="s">
        <v>233</v>
      </c>
      <c r="E83" t="s">
        <v>6</v>
      </c>
      <c r="F83" t="s">
        <v>139</v>
      </c>
      <c r="G83" t="s">
        <v>153</v>
      </c>
      <c r="H83" t="s">
        <v>143</v>
      </c>
      <c r="I83">
        <v>90</v>
      </c>
      <c r="J83" t="s">
        <v>303</v>
      </c>
      <c r="K83"/>
      <c r="L83"/>
      <c r="M83">
        <v>13439</v>
      </c>
      <c r="N83" t="s">
        <v>287</v>
      </c>
      <c r="O83" s="7">
        <v>45616</v>
      </c>
      <c r="P83" s="7">
        <v>45631</v>
      </c>
      <c r="Q83" s="7">
        <v>45622</v>
      </c>
      <c r="R83" s="9">
        <f>IF(OR(ISBLANK(masio[[#This Row],[ميعاد التسليم]]),ISBLANK(masio[[#This Row],[ميعاد الطلب]])),0,masio[[#This Row],[ميعاد التسليم]]-masio[[#This Row],[ميعاد الطلب]])</f>
        <v>15</v>
      </c>
      <c r="S83" s="9">
        <f>IF(OR(ISBLANK(masio[[#This Row],[تاريخ التسليم]]),ISBLANK(masio[[#This Row],[ميعاد الطلب]])),0,masio[[#This Row],[تاريخ التسليم]]-masio[[#This Row],[ميعاد الطلب]])</f>
        <v>6</v>
      </c>
      <c r="T83" t="s">
        <v>177</v>
      </c>
      <c r="U83" t="s">
        <v>176</v>
      </c>
      <c r="V83" t="str">
        <f>IF(masio[[#This Row],[مده التسليم الفعليه]]=masio[[#This Row],[مده التسليم الاساسيه]],"في الموعد","خارج الموعد")</f>
        <v>خارج الموعد</v>
      </c>
    </row>
    <row r="84" spans="1:22" ht="20.100000000000001" customHeight="1" x14ac:dyDescent="0.3">
      <c r="A84" t="s">
        <v>204</v>
      </c>
      <c r="B84" t="s">
        <v>276</v>
      </c>
      <c r="C84" t="s">
        <v>282</v>
      </c>
      <c r="D84" t="s">
        <v>42</v>
      </c>
      <c r="E84" t="s">
        <v>6</v>
      </c>
      <c r="F84" t="s">
        <v>139</v>
      </c>
      <c r="G84" t="s">
        <v>153</v>
      </c>
      <c r="H84" t="s">
        <v>144</v>
      </c>
      <c r="I84">
        <v>80</v>
      </c>
      <c r="J84" t="s">
        <v>154</v>
      </c>
      <c r="K84"/>
      <c r="L84"/>
      <c r="M84">
        <v>10499</v>
      </c>
      <c r="N84" t="s">
        <v>13</v>
      </c>
      <c r="O84" s="7">
        <v>45581</v>
      </c>
      <c r="P84" s="7">
        <v>45645</v>
      </c>
      <c r="Q84" s="7">
        <v>45586</v>
      </c>
      <c r="R84" s="9">
        <f>IF(OR(ISBLANK(masio[[#This Row],[ميعاد التسليم]]),ISBLANK(masio[[#This Row],[ميعاد الطلب]])),0,masio[[#This Row],[ميعاد التسليم]]-masio[[#This Row],[ميعاد الطلب]])</f>
        <v>64</v>
      </c>
      <c r="S84" s="9">
        <f>IF(OR(ISBLANK(masio[[#This Row],[تاريخ التسليم]]),ISBLANK(masio[[#This Row],[ميعاد الطلب]])),0,masio[[#This Row],[تاريخ التسليم]]-masio[[#This Row],[ميعاد الطلب]])</f>
        <v>5</v>
      </c>
      <c r="T84" t="s">
        <v>177</v>
      </c>
      <c r="U84" t="s">
        <v>176</v>
      </c>
      <c r="V84" t="str">
        <f>IF(masio[[#This Row],[مده التسليم الفعليه]]=masio[[#This Row],[مده التسليم الاساسيه]],"في الموعد","خارج الموعد")</f>
        <v>خارج الموعد</v>
      </c>
    </row>
    <row r="85" spans="1:22" ht="20.100000000000001" customHeight="1" x14ac:dyDescent="0.3">
      <c r="A85" t="s">
        <v>236</v>
      </c>
      <c r="B85" t="s">
        <v>276</v>
      </c>
      <c r="C85" t="s">
        <v>282</v>
      </c>
      <c r="D85" t="s">
        <v>42</v>
      </c>
      <c r="E85" t="s">
        <v>237</v>
      </c>
      <c r="F85" t="s">
        <v>139</v>
      </c>
      <c r="G85" t="s">
        <v>142</v>
      </c>
      <c r="H85" t="s">
        <v>238</v>
      </c>
      <c r="I85">
        <v>160</v>
      </c>
      <c r="J85" t="s">
        <v>162</v>
      </c>
      <c r="K85" t="s">
        <v>154</v>
      </c>
      <c r="L85"/>
      <c r="M85">
        <v>6000</v>
      </c>
      <c r="N85" t="s">
        <v>287</v>
      </c>
      <c r="O85" s="7">
        <v>45618</v>
      </c>
      <c r="P85" s="7">
        <v>45628</v>
      </c>
      <c r="Q85" s="7">
        <v>45623</v>
      </c>
      <c r="R85" s="9">
        <f>IF(OR(ISBLANK(masio[[#This Row],[ميعاد التسليم]]),ISBLANK(masio[[#This Row],[ميعاد الطلب]])),0,masio[[#This Row],[ميعاد التسليم]]-masio[[#This Row],[ميعاد الطلب]])</f>
        <v>10</v>
      </c>
      <c r="S85" s="9">
        <f>IF(OR(ISBLANK(masio[[#This Row],[تاريخ التسليم]]),ISBLANK(masio[[#This Row],[ميعاد الطلب]])),0,masio[[#This Row],[تاريخ التسليم]]-masio[[#This Row],[ميعاد الطلب]])</f>
        <v>5</v>
      </c>
      <c r="T85" t="s">
        <v>177</v>
      </c>
      <c r="U85" t="s">
        <v>176</v>
      </c>
      <c r="V85" t="str">
        <f>IF(masio[[#This Row],[مده التسليم الفعليه]]=masio[[#This Row],[مده التسليم الاساسيه]],"في الموعد","خارج الموعد")</f>
        <v>خارج الموعد</v>
      </c>
    </row>
    <row r="86" spans="1:22" ht="20.100000000000001" customHeight="1" x14ac:dyDescent="0.3">
      <c r="A86" t="s">
        <v>264</v>
      </c>
      <c r="B86" t="s">
        <v>276</v>
      </c>
      <c r="C86" t="s">
        <v>282</v>
      </c>
      <c r="D86" t="s">
        <v>265</v>
      </c>
      <c r="E86" t="s">
        <v>45</v>
      </c>
      <c r="F86" t="s">
        <v>139</v>
      </c>
      <c r="G86" t="s">
        <v>153</v>
      </c>
      <c r="H86" t="s">
        <v>143</v>
      </c>
      <c r="I86"/>
      <c r="J86" t="s">
        <v>303</v>
      </c>
      <c r="K86"/>
      <c r="L86"/>
      <c r="M86">
        <v>10445</v>
      </c>
      <c r="N86" t="s">
        <v>287</v>
      </c>
      <c r="O86" s="7">
        <v>45635</v>
      </c>
      <c r="P86" s="7">
        <v>45657</v>
      </c>
      <c r="Q86" s="7">
        <v>45638</v>
      </c>
      <c r="R86" s="9">
        <f>IF(OR(ISBLANK(masio[[#This Row],[ميعاد التسليم]]),ISBLANK(masio[[#This Row],[ميعاد الطلب]])),0,masio[[#This Row],[ميعاد التسليم]]-masio[[#This Row],[ميعاد الطلب]])</f>
        <v>22</v>
      </c>
      <c r="S86" s="9">
        <f>IF(OR(ISBLANK(masio[[#This Row],[تاريخ التسليم]]),ISBLANK(masio[[#This Row],[ميعاد الطلب]])),0,masio[[#This Row],[تاريخ التسليم]]-masio[[#This Row],[ميعاد الطلب]])</f>
        <v>3</v>
      </c>
      <c r="T86" t="s">
        <v>177</v>
      </c>
      <c r="U86" t="s">
        <v>176</v>
      </c>
      <c r="V86" t="str">
        <f>IF(masio[[#This Row],[مده التسليم الفعليه]]=masio[[#This Row],[مده التسليم الاساسيه]],"في الموعد","خارج الموعد")</f>
        <v>خارج الموعد</v>
      </c>
    </row>
    <row r="87" spans="1:22" ht="20.100000000000001" customHeight="1" x14ac:dyDescent="0.3">
      <c r="A87" t="s">
        <v>20</v>
      </c>
      <c r="B87" t="s">
        <v>276</v>
      </c>
      <c r="C87" t="s">
        <v>281</v>
      </c>
      <c r="D87" t="s">
        <v>21</v>
      </c>
      <c r="E87" t="s">
        <v>6</v>
      </c>
      <c r="F87" t="s">
        <v>246</v>
      </c>
      <c r="G87"/>
      <c r="H87"/>
      <c r="I87"/>
      <c r="J87"/>
      <c r="K87"/>
      <c r="L87" t="s">
        <v>22</v>
      </c>
      <c r="M87">
        <v>8642</v>
      </c>
      <c r="N87" t="s">
        <v>13</v>
      </c>
      <c r="O87" s="7">
        <v>45529</v>
      </c>
      <c r="P87" s="7">
        <v>45542</v>
      </c>
      <c r="Q87" s="7">
        <v>45531</v>
      </c>
      <c r="R87" s="9">
        <f>IF(OR(ISBLANK(masio[[#This Row],[ميعاد التسليم]]),ISBLANK(masio[[#This Row],[ميعاد الطلب]])),0,masio[[#This Row],[ميعاد التسليم]]-masio[[#This Row],[ميعاد الطلب]])</f>
        <v>13</v>
      </c>
      <c r="S87" s="9">
        <f>IF(OR(ISBLANK(masio[[#This Row],[تاريخ التسليم]]),ISBLANK(masio[[#This Row],[ميعاد الطلب]])),0,masio[[#This Row],[تاريخ التسليم]]-masio[[#This Row],[ميعاد الطلب]])</f>
        <v>2</v>
      </c>
      <c r="T87" t="s">
        <v>23</v>
      </c>
      <c r="U87" t="s">
        <v>176</v>
      </c>
      <c r="V87" t="str">
        <f>IF(masio[[#This Row],[مده التسليم الفعليه]]=masio[[#This Row],[مده التسليم الاساسيه]],"في الموعد","خارج الموعد")</f>
        <v>خارج الموعد</v>
      </c>
    </row>
    <row r="88" spans="1:22" ht="20.100000000000001" customHeight="1" x14ac:dyDescent="0.3">
      <c r="A88" t="s">
        <v>28</v>
      </c>
      <c r="B88" t="s">
        <v>276</v>
      </c>
      <c r="C88" t="s">
        <v>282</v>
      </c>
      <c r="D88" t="s">
        <v>29</v>
      </c>
      <c r="E88" t="s">
        <v>237</v>
      </c>
      <c r="F88" t="s">
        <v>149</v>
      </c>
      <c r="G88" t="s">
        <v>152</v>
      </c>
      <c r="H88"/>
      <c r="I88"/>
      <c r="J88" t="s">
        <v>159</v>
      </c>
      <c r="K88"/>
      <c r="L88" t="s">
        <v>27</v>
      </c>
      <c r="M88">
        <v>12000</v>
      </c>
      <c r="N88" t="s">
        <v>287</v>
      </c>
      <c r="O88" s="7">
        <v>45521</v>
      </c>
      <c r="P88" s="7">
        <v>45524</v>
      </c>
      <c r="Q88" s="7">
        <v>45523</v>
      </c>
      <c r="R88" s="9">
        <f>IF(OR(ISBLANK(masio[[#This Row],[ميعاد التسليم]]),ISBLANK(masio[[#This Row],[ميعاد الطلب]])),0,masio[[#This Row],[ميعاد التسليم]]-masio[[#This Row],[ميعاد الطلب]])</f>
        <v>3</v>
      </c>
      <c r="S88" s="9">
        <f>IF(OR(ISBLANK(masio[[#This Row],[تاريخ التسليم]]),ISBLANK(masio[[#This Row],[ميعاد الطلب]])),0,masio[[#This Row],[تاريخ التسليم]]-masio[[#This Row],[ميعاد الطلب]])</f>
        <v>2</v>
      </c>
      <c r="T88" t="s">
        <v>23</v>
      </c>
      <c r="U88" t="s">
        <v>176</v>
      </c>
      <c r="V88" t="str">
        <f>IF(masio[[#This Row],[مده التسليم الفعليه]]=masio[[#This Row],[مده التسليم الاساسيه]],"في الموعد","خارج الموعد")</f>
        <v>خارج الموعد</v>
      </c>
    </row>
    <row r="89" spans="1:22" ht="20.100000000000001" customHeight="1" x14ac:dyDescent="0.3">
      <c r="A89" t="s">
        <v>34</v>
      </c>
      <c r="B89" t="s">
        <v>275</v>
      </c>
      <c r="C89" t="s">
        <v>282</v>
      </c>
      <c r="D89" t="s">
        <v>39</v>
      </c>
      <c r="E89" t="s">
        <v>36</v>
      </c>
      <c r="F89" t="s">
        <v>149</v>
      </c>
      <c r="G89" t="s">
        <v>242</v>
      </c>
      <c r="H89" t="s">
        <v>242</v>
      </c>
      <c r="I89"/>
      <c r="J89"/>
      <c r="K89"/>
      <c r="L89"/>
      <c r="M89">
        <v>6000</v>
      </c>
      <c r="N89" t="s">
        <v>287</v>
      </c>
      <c r="O89" s="7">
        <v>45615</v>
      </c>
      <c r="P89" s="7">
        <v>45631</v>
      </c>
      <c r="Q89" s="7">
        <v>45616</v>
      </c>
      <c r="R89" s="9">
        <f>IF(OR(ISBLANK(masio[[#This Row],[ميعاد التسليم]]),ISBLANK(masio[[#This Row],[ميعاد الطلب]])),0,masio[[#This Row],[ميعاد التسليم]]-masio[[#This Row],[ميعاد الطلب]])</f>
        <v>16</v>
      </c>
      <c r="S89" s="9">
        <f>IF(OR(ISBLANK(masio[[#This Row],[تاريخ التسليم]]),ISBLANK(masio[[#This Row],[ميعاد الطلب]])),0,masio[[#This Row],[تاريخ التسليم]]-masio[[#This Row],[ميعاد الطلب]])</f>
        <v>1</v>
      </c>
      <c r="T89" t="s">
        <v>243</v>
      </c>
      <c r="U89" t="s">
        <v>176</v>
      </c>
      <c r="V89" t="str">
        <f>IF(masio[[#This Row],[مده التسليم الفعليه]]=masio[[#This Row],[مده التسليم الاساسيه]],"في الموعد","خارج الموعد")</f>
        <v>خارج الموعد</v>
      </c>
    </row>
    <row r="90" spans="1:22" ht="20.100000000000001" customHeight="1" x14ac:dyDescent="0.3">
      <c r="A90" t="s">
        <v>17</v>
      </c>
      <c r="B90" t="s">
        <v>276</v>
      </c>
      <c r="C90" t="s">
        <v>280</v>
      </c>
      <c r="D90" t="s">
        <v>18</v>
      </c>
      <c r="E90" t="s">
        <v>6</v>
      </c>
      <c r="F90" t="s">
        <v>139</v>
      </c>
      <c r="G90" t="s">
        <v>153</v>
      </c>
      <c r="H90" t="s">
        <v>144</v>
      </c>
      <c r="I90">
        <v>90</v>
      </c>
      <c r="J90" t="s">
        <v>157</v>
      </c>
      <c r="K90"/>
      <c r="L90" s="6" t="s">
        <v>19</v>
      </c>
      <c r="M90">
        <v>11455</v>
      </c>
      <c r="N90" t="s">
        <v>287</v>
      </c>
      <c r="O90" s="7">
        <v>45500</v>
      </c>
      <c r="P90" s="7"/>
      <c r="Q90" s="7"/>
      <c r="R90" s="9">
        <f>IF(OR(ISBLANK(masio[[#This Row],[ميعاد التسليم]]),ISBLANK(masio[[#This Row],[ميعاد الطلب]])),0,masio[[#This Row],[ميعاد التسليم]]-masio[[#This Row],[ميعاد الطلب]])</f>
        <v>0</v>
      </c>
      <c r="S90" s="9">
        <f>IF(OR(ISBLANK(masio[[#This Row],[تاريخ التسليم]]),ISBLANK(masio[[#This Row],[ميعاد الطلب]])),0,masio[[#This Row],[تاريخ التسليم]]-masio[[#This Row],[ميعاد الطلب]])</f>
        <v>0</v>
      </c>
      <c r="T90" t="s">
        <v>30</v>
      </c>
      <c r="U90" t="s">
        <v>229</v>
      </c>
      <c r="V90"/>
    </row>
    <row r="91" spans="1:22" ht="20.100000000000001" customHeight="1" x14ac:dyDescent="0.3">
      <c r="A91" t="s">
        <v>24</v>
      </c>
      <c r="B91" t="s">
        <v>276</v>
      </c>
      <c r="C91" t="s">
        <v>280</v>
      </c>
      <c r="D91" t="s">
        <v>18</v>
      </c>
      <c r="E91" t="s">
        <v>6</v>
      </c>
      <c r="F91" t="s">
        <v>139</v>
      </c>
      <c r="G91" t="s">
        <v>153</v>
      </c>
      <c r="H91" t="s">
        <v>141</v>
      </c>
      <c r="I91">
        <v>100</v>
      </c>
      <c r="J91" t="s">
        <v>159</v>
      </c>
      <c r="K91"/>
      <c r="L91" s="6" t="s">
        <v>25</v>
      </c>
      <c r="M91">
        <v>12833</v>
      </c>
      <c r="N91" t="s">
        <v>287</v>
      </c>
      <c r="O91" s="7">
        <v>45520</v>
      </c>
      <c r="P91" s="7">
        <v>45535</v>
      </c>
      <c r="Q91" s="7"/>
      <c r="R91" s="9">
        <f>IF(OR(ISBLANK(masio[[#This Row],[ميعاد التسليم]]),ISBLANK(masio[[#This Row],[ميعاد الطلب]])),0,masio[[#This Row],[ميعاد التسليم]]-masio[[#This Row],[ميعاد الطلب]])</f>
        <v>15</v>
      </c>
      <c r="S91" s="9">
        <f>IF(OR(ISBLANK(masio[[#This Row],[تاريخ التسليم]]),ISBLANK(masio[[#This Row],[ميعاد الطلب]])),0,masio[[#This Row],[تاريخ التسليم]]-masio[[#This Row],[ميعاد الطلب]])</f>
        <v>0</v>
      </c>
      <c r="T91" t="s">
        <v>30</v>
      </c>
      <c r="U91" t="s">
        <v>229</v>
      </c>
      <c r="V91" t="str">
        <f>IF(masio[[#This Row],[مده التسليم الفعليه]]=masio[[#This Row],[مده التسليم الاساسيه]],"في الموعد","خارج الموعد")</f>
        <v>خارج الموعد</v>
      </c>
    </row>
    <row r="92" spans="1:22" ht="20.100000000000001" customHeight="1" x14ac:dyDescent="0.3">
      <c r="A92" t="s">
        <v>34</v>
      </c>
      <c r="B92" t="s">
        <v>275</v>
      </c>
      <c r="C92" t="s">
        <v>282</v>
      </c>
      <c r="D92" t="s">
        <v>35</v>
      </c>
      <c r="E92" t="s">
        <v>36</v>
      </c>
      <c r="F92" t="s">
        <v>149</v>
      </c>
      <c r="G92" t="s">
        <v>147</v>
      </c>
      <c r="H92"/>
      <c r="I92"/>
      <c r="J92"/>
      <c r="K92"/>
      <c r="L92" t="s">
        <v>38</v>
      </c>
      <c r="M92">
        <v>16000</v>
      </c>
      <c r="N92" t="s">
        <v>287</v>
      </c>
      <c r="O92" s="7"/>
      <c r="P92" s="7"/>
      <c r="Q92" s="7"/>
      <c r="R92" s="9">
        <f>IF(OR(ISBLANK(masio[[#This Row],[ميعاد التسليم]]),ISBLANK(masio[[#This Row],[ميعاد الطلب]])),0,masio[[#This Row],[ميعاد التسليم]]-masio[[#This Row],[ميعاد الطلب]])</f>
        <v>0</v>
      </c>
      <c r="S92" s="9">
        <f>IF(OR(ISBLANK(masio[[#This Row],[تاريخ التسليم]]),ISBLANK(masio[[#This Row],[ميعاد الطلب]])),0,masio[[#This Row],[تاريخ التسليم]]-masio[[#This Row],[ميعاد الطلب]])</f>
        <v>0</v>
      </c>
      <c r="T92" t="s">
        <v>30</v>
      </c>
      <c r="U92" t="s">
        <v>229</v>
      </c>
      <c r="V92"/>
    </row>
    <row r="93" spans="1:22" ht="20.100000000000001" customHeight="1" x14ac:dyDescent="0.3">
      <c r="A93" t="s">
        <v>58</v>
      </c>
      <c r="B93" t="s">
        <v>276</v>
      </c>
      <c r="C93" t="s">
        <v>278</v>
      </c>
      <c r="D93" t="s">
        <v>32</v>
      </c>
      <c r="E93" t="s">
        <v>6</v>
      </c>
      <c r="F93" t="s">
        <v>139</v>
      </c>
      <c r="G93" t="s">
        <v>142</v>
      </c>
      <c r="H93" t="s">
        <v>141</v>
      </c>
      <c r="I93">
        <v>80</v>
      </c>
      <c r="J93" t="s">
        <v>154</v>
      </c>
      <c r="K93"/>
      <c r="L93" s="6" t="s">
        <v>59</v>
      </c>
      <c r="M93">
        <v>7295</v>
      </c>
      <c r="N93" t="s">
        <v>287</v>
      </c>
      <c r="O93" s="7">
        <v>45540</v>
      </c>
      <c r="P93" s="7">
        <v>45549</v>
      </c>
      <c r="Q93" s="7"/>
      <c r="R93" s="9">
        <f>IF(OR(ISBLANK(masio[[#This Row],[ميعاد التسليم]]),ISBLANK(masio[[#This Row],[ميعاد الطلب]])),0,masio[[#This Row],[ميعاد التسليم]]-masio[[#This Row],[ميعاد الطلب]])</f>
        <v>9</v>
      </c>
      <c r="S93" s="9">
        <f>IF(OR(ISBLANK(masio[[#This Row],[تاريخ التسليم]]),ISBLANK(masio[[#This Row],[ميعاد الطلب]])),0,masio[[#This Row],[تاريخ التسليم]]-masio[[#This Row],[ميعاد الطلب]])</f>
        <v>0</v>
      </c>
      <c r="T93"/>
      <c r="U93" t="s">
        <v>229</v>
      </c>
      <c r="V93" t="str">
        <f>IF(masio[[#This Row],[مده التسليم الفعليه]]=masio[[#This Row],[مده التسليم الاساسيه]],"في الموعد","خارج الموعد")</f>
        <v>خارج الموعد</v>
      </c>
    </row>
    <row r="94" spans="1:22" ht="20.100000000000001" customHeight="1" x14ac:dyDescent="0.3">
      <c r="A94" t="s">
        <v>51</v>
      </c>
      <c r="B94" t="s">
        <v>276</v>
      </c>
      <c r="C94" t="s">
        <v>282</v>
      </c>
      <c r="D94" t="s">
        <v>52</v>
      </c>
      <c r="E94" t="s">
        <v>6</v>
      </c>
      <c r="F94" t="s">
        <v>139</v>
      </c>
      <c r="G94" t="s">
        <v>153</v>
      </c>
      <c r="H94" t="s">
        <v>143</v>
      </c>
      <c r="I94">
        <v>80</v>
      </c>
      <c r="J94" t="s">
        <v>154</v>
      </c>
      <c r="K94"/>
      <c r="L94" s="6" t="s">
        <v>53</v>
      </c>
      <c r="M94">
        <v>11199</v>
      </c>
      <c r="N94" t="s">
        <v>287</v>
      </c>
      <c r="O94" s="7">
        <v>45539</v>
      </c>
      <c r="P94" s="7">
        <v>45553</v>
      </c>
      <c r="Q94" s="7"/>
      <c r="R94" s="9">
        <f>IF(OR(ISBLANK(masio[[#This Row],[ميعاد التسليم]]),ISBLANK(masio[[#This Row],[ميعاد الطلب]])),0,masio[[#This Row],[ميعاد التسليم]]-masio[[#This Row],[ميعاد الطلب]])</f>
        <v>14</v>
      </c>
      <c r="S94" s="9">
        <f>IF(OR(ISBLANK(masio[[#This Row],[تاريخ التسليم]]),ISBLANK(masio[[#This Row],[ميعاد الطلب]])),0,masio[[#This Row],[تاريخ التسليم]]-masio[[#This Row],[ميعاد الطلب]])</f>
        <v>0</v>
      </c>
      <c r="T94"/>
      <c r="U94" t="s">
        <v>229</v>
      </c>
      <c r="V94" t="str">
        <f>IF(masio[[#This Row],[مده التسليم الفعليه]]=masio[[#This Row],[مده التسليم الاساسيه]],"في الموعد","خارج الموعد")</f>
        <v>خارج الموعد</v>
      </c>
    </row>
    <row r="95" spans="1:22" ht="20.100000000000001" customHeight="1" x14ac:dyDescent="0.3">
      <c r="A95" t="s">
        <v>98</v>
      </c>
      <c r="B95" t="s">
        <v>276</v>
      </c>
      <c r="C95" t="s">
        <v>282</v>
      </c>
      <c r="D95" t="s">
        <v>99</v>
      </c>
      <c r="E95" t="s">
        <v>6</v>
      </c>
      <c r="F95" t="s">
        <v>246</v>
      </c>
      <c r="G95" t="s">
        <v>171</v>
      </c>
      <c r="H95"/>
      <c r="I95"/>
      <c r="J95"/>
      <c r="K95"/>
      <c r="L95" t="s">
        <v>56</v>
      </c>
      <c r="M95">
        <v>8849</v>
      </c>
      <c r="N95" t="s">
        <v>13</v>
      </c>
      <c r="O95" s="7">
        <v>45538</v>
      </c>
      <c r="P95" s="7">
        <v>45581</v>
      </c>
      <c r="Q95" s="7"/>
      <c r="R95" s="9">
        <f>IF(OR(ISBLANK(masio[[#This Row],[ميعاد التسليم]]),ISBLANK(masio[[#This Row],[ميعاد الطلب]])),0,masio[[#This Row],[ميعاد التسليم]]-masio[[#This Row],[ميعاد الطلب]])</f>
        <v>43</v>
      </c>
      <c r="S95" s="9">
        <f>IF(OR(ISBLANK(masio[[#This Row],[تاريخ التسليم]]),ISBLANK(masio[[#This Row],[ميعاد الطلب]])),0,masio[[#This Row],[تاريخ التسليم]]-masio[[#This Row],[ميعاد الطلب]])</f>
        <v>0</v>
      </c>
      <c r="T95"/>
      <c r="U95" t="s">
        <v>229</v>
      </c>
      <c r="V95" t="str">
        <f>IF(masio[[#This Row],[مده التسليم الفعليه]]=masio[[#This Row],[مده التسليم الاساسيه]],"في الموعد","خارج الموعد")</f>
        <v>خارج الموعد</v>
      </c>
    </row>
    <row r="96" spans="1:22" ht="20.100000000000001" customHeight="1" x14ac:dyDescent="0.3">
      <c r="A96" t="s">
        <v>133</v>
      </c>
      <c r="B96" t="s">
        <v>276</v>
      </c>
      <c r="C96" t="s">
        <v>281</v>
      </c>
      <c r="D96" t="s">
        <v>134</v>
      </c>
      <c r="E96" t="s">
        <v>6</v>
      </c>
      <c r="F96" t="s">
        <v>139</v>
      </c>
      <c r="G96" t="s">
        <v>140</v>
      </c>
      <c r="H96"/>
      <c r="I96"/>
      <c r="J96" t="s">
        <v>303</v>
      </c>
      <c r="K96" t="s">
        <v>155</v>
      </c>
      <c r="L96" s="6" t="s">
        <v>135</v>
      </c>
      <c r="M96">
        <v>9399</v>
      </c>
      <c r="N96" t="s">
        <v>13</v>
      </c>
      <c r="O96" s="7">
        <v>45549</v>
      </c>
      <c r="P96" s="7">
        <v>45557</v>
      </c>
      <c r="Q96" s="7"/>
      <c r="R96" s="9">
        <f>IF(OR(ISBLANK(masio[[#This Row],[ميعاد التسليم]]),ISBLANK(masio[[#This Row],[ميعاد الطلب]])),0,masio[[#This Row],[ميعاد التسليم]]-masio[[#This Row],[ميعاد الطلب]])</f>
        <v>8</v>
      </c>
      <c r="S96" s="9">
        <f>IF(OR(ISBLANK(masio[[#This Row],[تاريخ التسليم]]),ISBLANK(masio[[#This Row],[ميعاد الطلب]])),0,masio[[#This Row],[تاريخ التسليم]]-masio[[#This Row],[ميعاد الطلب]])</f>
        <v>0</v>
      </c>
      <c r="T96" t="s">
        <v>30</v>
      </c>
      <c r="U96" t="s">
        <v>229</v>
      </c>
      <c r="V96" t="str">
        <f>IF(masio[[#This Row],[مده التسليم الفعليه]]=masio[[#This Row],[مده التسليم الاساسيه]],"في الموعد","خارج الموعد")</f>
        <v>خارج الموعد</v>
      </c>
    </row>
    <row r="97" spans="1:22" ht="20.100000000000001" customHeight="1" x14ac:dyDescent="0.3">
      <c r="A97" t="s">
        <v>64</v>
      </c>
      <c r="B97" t="s">
        <v>276</v>
      </c>
      <c r="C97" t="s">
        <v>282</v>
      </c>
      <c r="D97" t="s">
        <v>65</v>
      </c>
      <c r="E97" t="s">
        <v>6</v>
      </c>
      <c r="F97" t="s">
        <v>246</v>
      </c>
      <c r="G97" t="s">
        <v>171</v>
      </c>
      <c r="H97"/>
      <c r="I97"/>
      <c r="J97"/>
      <c r="K97"/>
      <c r="L97" t="s">
        <v>56</v>
      </c>
      <c r="M97">
        <v>7849</v>
      </c>
      <c r="N97" t="s">
        <v>287</v>
      </c>
      <c r="O97" s="7">
        <v>45547</v>
      </c>
      <c r="P97" s="7">
        <v>45561</v>
      </c>
      <c r="Q97" s="7"/>
      <c r="R97" s="9">
        <f>IF(OR(ISBLANK(masio[[#This Row],[ميعاد التسليم]]),ISBLANK(masio[[#This Row],[ميعاد الطلب]])),0,masio[[#This Row],[ميعاد التسليم]]-masio[[#This Row],[ميعاد الطلب]])</f>
        <v>14</v>
      </c>
      <c r="S97" s="9">
        <f>IF(OR(ISBLANK(masio[[#This Row],[تاريخ التسليم]]),ISBLANK(masio[[#This Row],[ميعاد الطلب]])),0,masio[[#This Row],[تاريخ التسليم]]-masio[[#This Row],[ميعاد الطلب]])</f>
        <v>0</v>
      </c>
      <c r="T97" t="s">
        <v>23</v>
      </c>
      <c r="U97" t="s">
        <v>176</v>
      </c>
      <c r="V97" t="str">
        <f>IF(masio[[#This Row],[مده التسليم الفعليه]]=masio[[#This Row],[مده التسليم الاساسيه]],"في الموعد","خارج الموعد")</f>
        <v>خارج الموعد</v>
      </c>
    </row>
    <row r="98" spans="1:22" ht="20.100000000000001" customHeight="1" x14ac:dyDescent="0.3">
      <c r="A98" t="s">
        <v>72</v>
      </c>
      <c r="B98" t="s">
        <v>276</v>
      </c>
      <c r="C98" t="s">
        <v>278</v>
      </c>
      <c r="D98" t="s">
        <v>73</v>
      </c>
      <c r="E98" t="s">
        <v>237</v>
      </c>
      <c r="F98" t="s">
        <v>139</v>
      </c>
      <c r="G98" t="s">
        <v>158</v>
      </c>
      <c r="H98" t="s">
        <v>144</v>
      </c>
      <c r="I98">
        <v>100</v>
      </c>
      <c r="J98" t="s">
        <v>303</v>
      </c>
      <c r="K98"/>
      <c r="L98" s="6" t="s">
        <v>74</v>
      </c>
      <c r="M98">
        <v>9450</v>
      </c>
      <c r="N98" t="s">
        <v>287</v>
      </c>
      <c r="O98" s="7">
        <v>45547</v>
      </c>
      <c r="P98" s="7">
        <v>45561</v>
      </c>
      <c r="Q98" s="7"/>
      <c r="R98" s="9">
        <f>IF(OR(ISBLANK(masio[[#This Row],[ميعاد التسليم]]),ISBLANK(masio[[#This Row],[ميعاد الطلب]])),0,masio[[#This Row],[ميعاد التسليم]]-masio[[#This Row],[ميعاد الطلب]])</f>
        <v>14</v>
      </c>
      <c r="S98" s="9">
        <f>IF(OR(ISBLANK(masio[[#This Row],[تاريخ التسليم]]),ISBLANK(masio[[#This Row],[ميعاد الطلب]])),0,masio[[#This Row],[تاريخ التسليم]]-masio[[#This Row],[ميعاد الطلب]])</f>
        <v>0</v>
      </c>
      <c r="T98"/>
      <c r="U98" t="s">
        <v>229</v>
      </c>
      <c r="V98" t="str">
        <f>IF(masio[[#This Row],[مده التسليم الفعليه]]=masio[[#This Row],[مده التسليم الاساسيه]],"في الموعد","خارج الموعد")</f>
        <v>خارج الموعد</v>
      </c>
    </row>
    <row r="99" spans="1:22" ht="20.100000000000001" customHeight="1" x14ac:dyDescent="0.3">
      <c r="A99" t="s">
        <v>66</v>
      </c>
      <c r="B99" t="s">
        <v>276</v>
      </c>
      <c r="C99" t="s">
        <v>282</v>
      </c>
      <c r="D99" t="s">
        <v>67</v>
      </c>
      <c r="E99" t="s">
        <v>6</v>
      </c>
      <c r="F99" t="s">
        <v>139</v>
      </c>
      <c r="G99" t="s">
        <v>153</v>
      </c>
      <c r="H99" t="s">
        <v>141</v>
      </c>
      <c r="I99">
        <v>90</v>
      </c>
      <c r="J99" t="s">
        <v>303</v>
      </c>
      <c r="K99"/>
      <c r="L99" s="6" t="s">
        <v>70</v>
      </c>
      <c r="M99">
        <v>5999</v>
      </c>
      <c r="N99" t="s">
        <v>13</v>
      </c>
      <c r="O99" s="7">
        <v>45547</v>
      </c>
      <c r="P99" s="7">
        <v>45564</v>
      </c>
      <c r="Q99" s="7"/>
      <c r="R99" s="9">
        <f>IF(OR(ISBLANK(masio[[#This Row],[ميعاد التسليم]]),ISBLANK(masio[[#This Row],[ميعاد الطلب]])),0,masio[[#This Row],[ميعاد التسليم]]-masio[[#This Row],[ميعاد الطلب]])</f>
        <v>17</v>
      </c>
      <c r="S99" s="9">
        <f>IF(OR(ISBLANK(masio[[#This Row],[تاريخ التسليم]]),ISBLANK(masio[[#This Row],[ميعاد الطلب]])),0,masio[[#This Row],[تاريخ التسليم]]-masio[[#This Row],[ميعاد الطلب]])</f>
        <v>0</v>
      </c>
      <c r="T99"/>
      <c r="U99" t="s">
        <v>229</v>
      </c>
      <c r="V99" t="str">
        <f>IF(masio[[#This Row],[مده التسليم الفعليه]]=masio[[#This Row],[مده التسليم الاساسيه]],"في الموعد","خارج الموعد")</f>
        <v>خارج الموعد</v>
      </c>
    </row>
    <row r="100" spans="1:22" ht="20.100000000000001" customHeight="1" x14ac:dyDescent="0.3">
      <c r="A100" t="s">
        <v>93</v>
      </c>
      <c r="B100" t="s">
        <v>276</v>
      </c>
      <c r="C100" t="s">
        <v>282</v>
      </c>
      <c r="D100" t="s">
        <v>94</v>
      </c>
      <c r="E100" t="s">
        <v>6</v>
      </c>
      <c r="F100" t="s">
        <v>149</v>
      </c>
      <c r="G100" t="s">
        <v>152</v>
      </c>
      <c r="H100"/>
      <c r="I100"/>
      <c r="J100" t="s">
        <v>303</v>
      </c>
      <c r="K100" t="s">
        <v>159</v>
      </c>
      <c r="L100" t="s">
        <v>95</v>
      </c>
      <c r="M100">
        <v>21999</v>
      </c>
      <c r="N100" t="s">
        <v>13</v>
      </c>
      <c r="O100" s="7">
        <v>45548</v>
      </c>
      <c r="P100" s="7">
        <v>45565</v>
      </c>
      <c r="Q100" s="7"/>
      <c r="R100" s="9">
        <f>IF(OR(ISBLANK(masio[[#This Row],[ميعاد التسليم]]),ISBLANK(masio[[#This Row],[ميعاد الطلب]])),0,masio[[#This Row],[ميعاد التسليم]]-masio[[#This Row],[ميعاد الطلب]])</f>
        <v>17</v>
      </c>
      <c r="S100" s="9">
        <f>IF(OR(ISBLANK(masio[[#This Row],[تاريخ التسليم]]),ISBLANK(masio[[#This Row],[ميعاد الطلب]])),0,masio[[#This Row],[تاريخ التسليم]]-masio[[#This Row],[ميعاد الطلب]])</f>
        <v>0</v>
      </c>
      <c r="T100" t="s">
        <v>177</v>
      </c>
      <c r="U100" t="s">
        <v>176</v>
      </c>
      <c r="V100" t="str">
        <f>IF(masio[[#This Row],[مده التسليم الفعليه]]=masio[[#This Row],[مده التسليم الاساسيه]],"في الموعد","خارج الموعد")</f>
        <v>خارج الموعد</v>
      </c>
    </row>
    <row r="101" spans="1:22" ht="20.100000000000001" customHeight="1" x14ac:dyDescent="0.3">
      <c r="A101" t="s">
        <v>118</v>
      </c>
      <c r="B101" t="s">
        <v>276</v>
      </c>
      <c r="C101" t="s">
        <v>282</v>
      </c>
      <c r="D101" t="s">
        <v>119</v>
      </c>
      <c r="E101" t="s">
        <v>6</v>
      </c>
      <c r="F101" t="s">
        <v>139</v>
      </c>
      <c r="G101" t="s">
        <v>142</v>
      </c>
      <c r="H101" t="s">
        <v>163</v>
      </c>
      <c r="I101">
        <v>120</v>
      </c>
      <c r="J101" t="s">
        <v>154</v>
      </c>
      <c r="K101"/>
      <c r="L101" s="6" t="s">
        <v>120</v>
      </c>
      <c r="M101">
        <v>17886</v>
      </c>
      <c r="N101" t="s">
        <v>13</v>
      </c>
      <c r="O101" s="7">
        <v>45549</v>
      </c>
      <c r="P101" s="7">
        <v>45594</v>
      </c>
      <c r="Q101" s="7"/>
      <c r="R101" s="9">
        <f>IF(OR(ISBLANK(masio[[#This Row],[ميعاد التسليم]]),ISBLANK(masio[[#This Row],[ميعاد الطلب]])),0,masio[[#This Row],[ميعاد التسليم]]-masio[[#This Row],[ميعاد الطلب]])</f>
        <v>45</v>
      </c>
      <c r="S101" s="9">
        <f>IF(OR(ISBLANK(masio[[#This Row],[تاريخ التسليم]]),ISBLANK(masio[[#This Row],[ميعاد الطلب]])),0,masio[[#This Row],[تاريخ التسليم]]-masio[[#This Row],[ميعاد الطلب]])</f>
        <v>0</v>
      </c>
      <c r="T101"/>
      <c r="U101" t="s">
        <v>229</v>
      </c>
      <c r="V101" t="str">
        <f>IF(masio[[#This Row],[مده التسليم الفعليه]]=masio[[#This Row],[مده التسليم الاساسيه]],"في الموعد","خارج الموعد")</f>
        <v>خارج الموعد</v>
      </c>
    </row>
    <row r="102" spans="1:22" ht="20.100000000000001" customHeight="1" x14ac:dyDescent="0.3">
      <c r="A102" t="s">
        <v>106</v>
      </c>
      <c r="B102" t="s">
        <v>276</v>
      </c>
      <c r="C102" t="s">
        <v>281</v>
      </c>
      <c r="D102" t="s">
        <v>107</v>
      </c>
      <c r="E102" t="s">
        <v>6</v>
      </c>
      <c r="F102" t="s">
        <v>149</v>
      </c>
      <c r="G102" t="s">
        <v>152</v>
      </c>
      <c r="H102"/>
      <c r="I102"/>
      <c r="J102" t="s">
        <v>303</v>
      </c>
      <c r="K102" t="s">
        <v>159</v>
      </c>
      <c r="L102" t="s">
        <v>95</v>
      </c>
      <c r="M102">
        <v>21999</v>
      </c>
      <c r="N102" t="s">
        <v>13</v>
      </c>
      <c r="O102" s="7">
        <v>45549</v>
      </c>
      <c r="P102" s="7">
        <v>45616</v>
      </c>
      <c r="Q102" s="7"/>
      <c r="R102" s="9">
        <f>IF(OR(ISBLANK(masio[[#This Row],[ميعاد التسليم]]),ISBLANK(masio[[#This Row],[ميعاد الطلب]])),0,masio[[#This Row],[ميعاد التسليم]]-masio[[#This Row],[ميعاد الطلب]])</f>
        <v>67</v>
      </c>
      <c r="S102" s="9">
        <f>IF(OR(ISBLANK(masio[[#This Row],[تاريخ التسليم]]),ISBLANK(masio[[#This Row],[ميعاد الطلب]])),0,masio[[#This Row],[تاريخ التسليم]]-masio[[#This Row],[ميعاد الطلب]])</f>
        <v>0</v>
      </c>
      <c r="T102"/>
      <c r="U102" t="s">
        <v>229</v>
      </c>
      <c r="V102" t="str">
        <f>IF(masio[[#This Row],[مده التسليم الفعليه]]=masio[[#This Row],[مده التسليم الاساسيه]],"في الموعد","خارج الموعد")</f>
        <v>خارج الموعد</v>
      </c>
    </row>
    <row r="103" spans="1:22" ht="20.100000000000001" customHeight="1" x14ac:dyDescent="0.3">
      <c r="A103" t="s">
        <v>180</v>
      </c>
      <c r="B103" t="s">
        <v>276</v>
      </c>
      <c r="C103" t="s">
        <v>278</v>
      </c>
      <c r="D103" t="s">
        <v>181</v>
      </c>
      <c r="E103" t="s">
        <v>6</v>
      </c>
      <c r="F103" t="s">
        <v>246</v>
      </c>
      <c r="G103" t="s">
        <v>173</v>
      </c>
      <c r="H103"/>
      <c r="I103"/>
      <c r="J103"/>
      <c r="K103"/>
      <c r="L103"/>
      <c r="M103">
        <v>8349</v>
      </c>
      <c r="N103" t="s">
        <v>287</v>
      </c>
      <c r="O103" s="7">
        <v>45561</v>
      </c>
      <c r="P103" s="7">
        <v>45606</v>
      </c>
      <c r="Q103" s="7"/>
      <c r="R103" s="9">
        <f>IF(OR(ISBLANK(masio[[#This Row],[ميعاد التسليم]]),ISBLANK(masio[[#This Row],[ميعاد الطلب]])),0,masio[[#This Row],[ميعاد التسليم]]-masio[[#This Row],[ميعاد الطلب]])</f>
        <v>45</v>
      </c>
      <c r="S103" s="9">
        <f>IF(OR(ISBLANK(masio[[#This Row],[تاريخ التسليم]]),ISBLANK(masio[[#This Row],[ميعاد الطلب]])),0,masio[[#This Row],[تاريخ التسليم]]-masio[[#This Row],[ميعاد الطلب]])</f>
        <v>0</v>
      </c>
      <c r="T103"/>
      <c r="U103" t="s">
        <v>229</v>
      </c>
      <c r="V103" t="str">
        <f>IF(masio[[#This Row],[مده التسليم الفعليه]]=masio[[#This Row],[مده التسليم الاساسيه]],"في الموعد","خارج الموعد")</f>
        <v>خارج الموعد</v>
      </c>
    </row>
    <row r="104" spans="1:22" ht="20.100000000000001" customHeight="1" x14ac:dyDescent="0.3">
      <c r="A104" t="s">
        <v>26</v>
      </c>
      <c r="B104" t="s">
        <v>275</v>
      </c>
      <c r="C104"/>
      <c r="D104"/>
      <c r="E104" t="s">
        <v>45</v>
      </c>
      <c r="F104" t="s">
        <v>139</v>
      </c>
      <c r="G104" t="s">
        <v>153</v>
      </c>
      <c r="H104" t="s">
        <v>143</v>
      </c>
      <c r="I104">
        <v>100</v>
      </c>
      <c r="J104" t="s">
        <v>303</v>
      </c>
      <c r="K104"/>
      <c r="L104"/>
      <c r="M104">
        <v>9208</v>
      </c>
      <c r="N104" t="s">
        <v>287</v>
      </c>
      <c r="O104" s="7">
        <v>45561</v>
      </c>
      <c r="P104" s="7">
        <v>45579</v>
      </c>
      <c r="Q104" s="7"/>
      <c r="R104" s="9">
        <f>IF(OR(ISBLANK(masio[[#This Row],[ميعاد التسليم]]),ISBLANK(masio[[#This Row],[ميعاد الطلب]])),0,masio[[#This Row],[ميعاد التسليم]]-masio[[#This Row],[ميعاد الطلب]])</f>
        <v>18</v>
      </c>
      <c r="S104" s="9">
        <f>IF(OR(ISBLANK(masio[[#This Row],[تاريخ التسليم]]),ISBLANK(masio[[#This Row],[ميعاد الطلب]])),0,masio[[#This Row],[تاريخ التسليم]]-masio[[#This Row],[ميعاد الطلب]])</f>
        <v>0</v>
      </c>
      <c r="T104"/>
      <c r="U104" t="s">
        <v>229</v>
      </c>
      <c r="V104" t="str">
        <f>IF(masio[[#This Row],[مده التسليم الفعليه]]=masio[[#This Row],[مده التسليم الاساسيه]],"في الموعد","خارج الموعد")</f>
        <v>خارج الموعد</v>
      </c>
    </row>
    <row r="105" spans="1:22" ht="20.100000000000001" customHeight="1" x14ac:dyDescent="0.3">
      <c r="A105" t="s">
        <v>193</v>
      </c>
      <c r="B105" t="s">
        <v>276</v>
      </c>
      <c r="C105" t="s">
        <v>282</v>
      </c>
      <c r="D105" t="s">
        <v>194</v>
      </c>
      <c r="E105" t="s">
        <v>6</v>
      </c>
      <c r="F105" t="s">
        <v>139</v>
      </c>
      <c r="G105" t="s">
        <v>140</v>
      </c>
      <c r="H105"/>
      <c r="I105"/>
      <c r="J105" t="s">
        <v>303</v>
      </c>
      <c r="K105" t="s">
        <v>155</v>
      </c>
      <c r="L105"/>
      <c r="M105">
        <v>8899</v>
      </c>
      <c r="N105" t="s">
        <v>287</v>
      </c>
      <c r="O105" s="7">
        <v>45568</v>
      </c>
      <c r="P105" s="7">
        <v>45613</v>
      </c>
      <c r="Q105" s="7"/>
      <c r="R105" s="9">
        <f>IF(OR(ISBLANK(masio[[#This Row],[ميعاد التسليم]]),ISBLANK(masio[[#This Row],[ميعاد الطلب]])),0,masio[[#This Row],[ميعاد التسليم]]-masio[[#This Row],[ميعاد الطلب]])</f>
        <v>45</v>
      </c>
      <c r="S105" s="9">
        <f>IF(OR(ISBLANK(masio[[#This Row],[تاريخ التسليم]]),ISBLANK(masio[[#This Row],[ميعاد الطلب]])),0,masio[[#This Row],[تاريخ التسليم]]-masio[[#This Row],[ميعاد الطلب]])</f>
        <v>0</v>
      </c>
      <c r="T105"/>
      <c r="U105" t="s">
        <v>229</v>
      </c>
      <c r="V105" t="str">
        <f>IF(masio[[#This Row],[مده التسليم الفعليه]]=masio[[#This Row],[مده التسليم الاساسيه]],"في الموعد","خارج الموعد")</f>
        <v>خارج الموعد</v>
      </c>
    </row>
    <row r="106" spans="1:22" ht="20.100000000000001" customHeight="1" x14ac:dyDescent="0.3">
      <c r="A106" t="s">
        <v>75</v>
      </c>
      <c r="B106" t="s">
        <v>275</v>
      </c>
      <c r="C106" t="s">
        <v>282</v>
      </c>
      <c r="D106" t="s">
        <v>214</v>
      </c>
      <c r="E106" t="s">
        <v>49</v>
      </c>
      <c r="F106" t="s">
        <v>139</v>
      </c>
      <c r="G106" t="s">
        <v>153</v>
      </c>
      <c r="H106" t="s">
        <v>213</v>
      </c>
      <c r="I106">
        <v>100</v>
      </c>
      <c r="J106"/>
      <c r="K106"/>
      <c r="L106"/>
      <c r="M106">
        <v>8544.91</v>
      </c>
      <c r="N106" t="s">
        <v>77</v>
      </c>
      <c r="O106" s="7">
        <v>45587</v>
      </c>
      <c r="P106" s="7"/>
      <c r="Q106" s="7"/>
      <c r="R106" s="9">
        <f>IF(OR(ISBLANK(masio[[#This Row],[ميعاد التسليم]]),ISBLANK(masio[[#This Row],[ميعاد الطلب]])),0,masio[[#This Row],[ميعاد التسليم]]-masio[[#This Row],[ميعاد الطلب]])</f>
        <v>0</v>
      </c>
      <c r="S106" s="9">
        <f>IF(OR(ISBLANK(masio[[#This Row],[تاريخ التسليم]]),ISBLANK(masio[[#This Row],[ميعاد الطلب]])),0,masio[[#This Row],[تاريخ التسليم]]-masio[[#This Row],[ميعاد الطلب]])</f>
        <v>0</v>
      </c>
      <c r="T106"/>
      <c r="U106" t="s">
        <v>229</v>
      </c>
      <c r="V106"/>
    </row>
    <row r="107" spans="1:22" ht="20.100000000000001" customHeight="1" x14ac:dyDescent="0.3">
      <c r="A107" t="s">
        <v>26</v>
      </c>
      <c r="B107" t="s">
        <v>275</v>
      </c>
      <c r="C107"/>
      <c r="D107"/>
      <c r="E107" t="s">
        <v>45</v>
      </c>
      <c r="F107" t="s">
        <v>139</v>
      </c>
      <c r="G107" t="s">
        <v>153</v>
      </c>
      <c r="H107" t="s">
        <v>143</v>
      </c>
      <c r="I107">
        <v>100</v>
      </c>
      <c r="J107" t="s">
        <v>303</v>
      </c>
      <c r="K107"/>
      <c r="L107"/>
      <c r="M107">
        <v>10045</v>
      </c>
      <c r="N107" t="s">
        <v>287</v>
      </c>
      <c r="O107" s="7">
        <v>45591</v>
      </c>
      <c r="P107" s="7">
        <v>45612</v>
      </c>
      <c r="Q107" s="7"/>
      <c r="R107" s="9">
        <f>IF(OR(ISBLANK(masio[[#This Row],[ميعاد التسليم]]),ISBLANK(masio[[#This Row],[ميعاد الطلب]])),0,masio[[#This Row],[ميعاد التسليم]]-masio[[#This Row],[ميعاد الطلب]])</f>
        <v>21</v>
      </c>
      <c r="S107" s="9">
        <f>IF(OR(ISBLANK(masio[[#This Row],[تاريخ التسليم]]),ISBLANK(masio[[#This Row],[ميعاد الطلب]])),0,masio[[#This Row],[تاريخ التسليم]]-masio[[#This Row],[ميعاد الطلب]])</f>
        <v>0</v>
      </c>
      <c r="T107"/>
      <c r="U107" t="s">
        <v>229</v>
      </c>
      <c r="V107" t="str">
        <f>IF(masio[[#This Row],[مده التسليم الفعليه]]=masio[[#This Row],[مده التسليم الاساسيه]],"في الموعد","خارج الموعد")</f>
        <v>خارج الموعد</v>
      </c>
    </row>
    <row r="108" spans="1:22" ht="20.100000000000001" customHeight="1" x14ac:dyDescent="0.3">
      <c r="A108" t="s">
        <v>34</v>
      </c>
      <c r="B108" t="s">
        <v>275</v>
      </c>
      <c r="C108" t="s">
        <v>282</v>
      </c>
      <c r="D108" t="s">
        <v>39</v>
      </c>
      <c r="E108" t="s">
        <v>36</v>
      </c>
      <c r="F108" t="s">
        <v>139</v>
      </c>
      <c r="G108" t="s">
        <v>234</v>
      </c>
      <c r="H108" t="s">
        <v>235</v>
      </c>
      <c r="I108">
        <v>160</v>
      </c>
      <c r="J108" t="s">
        <v>303</v>
      </c>
      <c r="K108"/>
      <c r="L108"/>
      <c r="M108">
        <v>5100</v>
      </c>
      <c r="N108" t="s">
        <v>77</v>
      </c>
      <c r="O108" s="7">
        <v>45610</v>
      </c>
      <c r="P108" s="7">
        <v>45634</v>
      </c>
      <c r="Q108" s="7"/>
      <c r="R108" s="9">
        <f>IF(OR(ISBLANK(masio[[#This Row],[ميعاد التسليم]]),ISBLANK(masio[[#This Row],[ميعاد الطلب]])),0,masio[[#This Row],[ميعاد التسليم]]-masio[[#This Row],[ميعاد الطلب]])</f>
        <v>24</v>
      </c>
      <c r="S108" s="9">
        <f>IF(OR(ISBLANK(masio[[#This Row],[تاريخ التسليم]]),ISBLANK(masio[[#This Row],[ميعاد الطلب]])),0,masio[[#This Row],[تاريخ التسليم]]-masio[[#This Row],[ميعاد الطلب]])</f>
        <v>0</v>
      </c>
      <c r="T108"/>
      <c r="U108" t="s">
        <v>229</v>
      </c>
      <c r="V108" t="str">
        <f>IF(masio[[#This Row],[مده التسليم الفعليه]]=masio[[#This Row],[مده التسليم الاساسيه]],"في الموعد","خارج الموعد")</f>
        <v>خارج الموعد</v>
      </c>
    </row>
    <row r="109" spans="1:22" ht="20.100000000000001" customHeight="1" x14ac:dyDescent="0.3">
      <c r="A109" t="s">
        <v>252</v>
      </c>
      <c r="B109" t="s">
        <v>276</v>
      </c>
      <c r="C109" t="s">
        <v>284</v>
      </c>
      <c r="D109" t="s">
        <v>253</v>
      </c>
      <c r="E109" t="s">
        <v>6</v>
      </c>
      <c r="F109" t="s">
        <v>139</v>
      </c>
      <c r="G109" t="s">
        <v>153</v>
      </c>
      <c r="H109" t="s">
        <v>144</v>
      </c>
      <c r="I109">
        <v>100</v>
      </c>
      <c r="J109" t="s">
        <v>303</v>
      </c>
      <c r="K109"/>
      <c r="L109"/>
      <c r="M109">
        <v>14905</v>
      </c>
      <c r="N109" t="s">
        <v>13</v>
      </c>
      <c r="O109" s="7">
        <v>45625</v>
      </c>
      <c r="P109" s="7">
        <v>45641</v>
      </c>
      <c r="Q109" s="7"/>
      <c r="R109" s="9">
        <f>IF(OR(ISBLANK(masio[[#This Row],[ميعاد التسليم]]),ISBLANK(masio[[#This Row],[ميعاد الطلب]])),0,masio[[#This Row],[ميعاد التسليم]]-masio[[#This Row],[ميعاد الطلب]])</f>
        <v>16</v>
      </c>
      <c r="S109" s="9">
        <f>IF(OR(ISBLANK(masio[[#This Row],[تاريخ التسليم]]),ISBLANK(masio[[#This Row],[ميعاد الطلب]])),0,masio[[#This Row],[تاريخ التسليم]]-masio[[#This Row],[ميعاد الطلب]])</f>
        <v>0</v>
      </c>
      <c r="T109" t="s">
        <v>270</v>
      </c>
      <c r="U109" t="s">
        <v>229</v>
      </c>
      <c r="V109" t="str">
        <f>IF(masio[[#This Row],[مده التسليم الفعليه]]=masio[[#This Row],[مده التسليم الاساسيه]],"في الموعد","خارج الموعد")</f>
        <v>خارج الموعد</v>
      </c>
    </row>
    <row r="110" spans="1:22" ht="20.100000000000001" customHeight="1" x14ac:dyDescent="0.3">
      <c r="A110" t="s">
        <v>254</v>
      </c>
      <c r="B110" t="s">
        <v>276</v>
      </c>
      <c r="C110" t="s">
        <v>282</v>
      </c>
      <c r="D110" t="s">
        <v>60</v>
      </c>
      <c r="E110" t="s">
        <v>6</v>
      </c>
      <c r="F110" t="s">
        <v>246</v>
      </c>
      <c r="G110" t="s">
        <v>249</v>
      </c>
      <c r="H110" t="s">
        <v>250</v>
      </c>
      <c r="I110"/>
      <c r="J110" t="s">
        <v>303</v>
      </c>
      <c r="K110" t="s">
        <v>255</v>
      </c>
      <c r="L110"/>
      <c r="M110">
        <v>10249</v>
      </c>
      <c r="N110" t="s">
        <v>13</v>
      </c>
      <c r="O110" s="7">
        <v>45626</v>
      </c>
      <c r="P110" s="7">
        <v>45638</v>
      </c>
      <c r="Q110" s="7"/>
      <c r="R110" s="9">
        <f>IF(OR(ISBLANK(masio[[#This Row],[ميعاد التسليم]]),ISBLANK(masio[[#This Row],[ميعاد الطلب]])),0,masio[[#This Row],[ميعاد التسليم]]-masio[[#This Row],[ميعاد الطلب]])</f>
        <v>12</v>
      </c>
      <c r="S110" s="9">
        <f>IF(OR(ISBLANK(masio[[#This Row],[تاريخ التسليم]]),ISBLANK(masio[[#This Row],[ميعاد الطلب]])),0,masio[[#This Row],[تاريخ التسليم]]-masio[[#This Row],[ميعاد الطلب]])</f>
        <v>0</v>
      </c>
      <c r="T110"/>
      <c r="U110" t="s">
        <v>229</v>
      </c>
      <c r="V110" t="str">
        <f>IF(masio[[#This Row],[مده التسليم الفعليه]]=masio[[#This Row],[مده التسليم الاساسيه]],"في الموعد","خارج الموعد")</f>
        <v>خارج الموعد</v>
      </c>
    </row>
    <row r="111" spans="1:22" ht="20.100000000000001" customHeight="1" x14ac:dyDescent="0.3">
      <c r="A111" t="s">
        <v>256</v>
      </c>
      <c r="B111" t="s">
        <v>276</v>
      </c>
      <c r="C111" t="s">
        <v>282</v>
      </c>
      <c r="D111" t="s">
        <v>60</v>
      </c>
      <c r="E111" t="s">
        <v>6</v>
      </c>
      <c r="F111" t="s">
        <v>246</v>
      </c>
      <c r="G111" t="s">
        <v>173</v>
      </c>
      <c r="H111"/>
      <c r="I111"/>
      <c r="J111" t="s">
        <v>303</v>
      </c>
      <c r="K111" t="s">
        <v>257</v>
      </c>
      <c r="L111"/>
      <c r="M111">
        <v>9029</v>
      </c>
      <c r="N111" t="s">
        <v>13</v>
      </c>
      <c r="O111" s="7">
        <v>45626</v>
      </c>
      <c r="P111" s="7">
        <v>45638</v>
      </c>
      <c r="Q111" s="7"/>
      <c r="R111" s="9">
        <f>IF(OR(ISBLANK(masio[[#This Row],[ميعاد التسليم]]),ISBLANK(masio[[#This Row],[ميعاد الطلب]])),0,masio[[#This Row],[ميعاد التسليم]]-masio[[#This Row],[ميعاد الطلب]])</f>
        <v>12</v>
      </c>
      <c r="S111" s="9">
        <f>IF(OR(ISBLANK(masio[[#This Row],[تاريخ التسليم]]),ISBLANK(masio[[#This Row],[ميعاد الطلب]])),0,masio[[#This Row],[تاريخ التسليم]]-masio[[#This Row],[ميعاد الطلب]])</f>
        <v>0</v>
      </c>
      <c r="T111"/>
      <c r="U111" t="s">
        <v>229</v>
      </c>
      <c r="V111" t="str">
        <f>IF(masio[[#This Row],[مده التسليم الفعليه]]=masio[[#This Row],[مده التسليم الاساسيه]],"في الموعد","خارج الموعد")</f>
        <v>خارج الموعد</v>
      </c>
    </row>
    <row r="112" spans="1:22" ht="20.100000000000001" customHeight="1" x14ac:dyDescent="0.3">
      <c r="A112" t="s">
        <v>258</v>
      </c>
      <c r="B112" t="s">
        <v>276</v>
      </c>
      <c r="C112" t="s">
        <v>281</v>
      </c>
      <c r="D112" t="s">
        <v>134</v>
      </c>
      <c r="E112" t="s">
        <v>6</v>
      </c>
      <c r="F112" t="s">
        <v>246</v>
      </c>
      <c r="G112" t="s">
        <v>259</v>
      </c>
      <c r="H112"/>
      <c r="I112"/>
      <c r="J112" t="s">
        <v>303</v>
      </c>
      <c r="K112" t="s">
        <v>260</v>
      </c>
      <c r="L112"/>
      <c r="M112">
        <v>9029</v>
      </c>
      <c r="N112" t="s">
        <v>13</v>
      </c>
      <c r="O112" s="7">
        <v>45626</v>
      </c>
      <c r="P112" s="7">
        <v>45638</v>
      </c>
      <c r="Q112" s="7"/>
      <c r="R112" s="9">
        <f>IF(OR(ISBLANK(masio[[#This Row],[ميعاد التسليم]]),ISBLANK(masio[[#This Row],[ميعاد الطلب]])),0,masio[[#This Row],[ميعاد التسليم]]-masio[[#This Row],[ميعاد الطلب]])</f>
        <v>12</v>
      </c>
      <c r="S112" s="9">
        <f>IF(OR(ISBLANK(masio[[#This Row],[تاريخ التسليم]]),ISBLANK(masio[[#This Row],[ميعاد الطلب]])),0,masio[[#This Row],[تاريخ التسليم]]-masio[[#This Row],[ميعاد الطلب]])</f>
        <v>0</v>
      </c>
      <c r="T112"/>
      <c r="U112" t="s">
        <v>229</v>
      </c>
      <c r="V112" t="str">
        <f>IF(masio[[#This Row],[مده التسليم الفعليه]]=masio[[#This Row],[مده التسليم الاساسيه]],"في الموعد","خارج الموعد")</f>
        <v>خارج الموعد</v>
      </c>
    </row>
    <row r="113" spans="1:22" ht="20.100000000000001" customHeight="1" x14ac:dyDescent="0.3">
      <c r="A113" t="s">
        <v>261</v>
      </c>
      <c r="B113" t="s">
        <v>276</v>
      </c>
      <c r="C113" t="s">
        <v>282</v>
      </c>
      <c r="D113" t="s">
        <v>262</v>
      </c>
      <c r="E113" t="s">
        <v>6</v>
      </c>
      <c r="F113" t="s">
        <v>139</v>
      </c>
      <c r="G113" t="s">
        <v>228</v>
      </c>
      <c r="H113" t="s">
        <v>141</v>
      </c>
      <c r="I113">
        <v>80</v>
      </c>
      <c r="J113" t="s">
        <v>154</v>
      </c>
      <c r="K113"/>
      <c r="L113"/>
      <c r="M113">
        <v>12099</v>
      </c>
      <c r="N113" t="s">
        <v>13</v>
      </c>
      <c r="O113" s="7">
        <v>45628</v>
      </c>
      <c r="P113" s="7">
        <v>45643</v>
      </c>
      <c r="Q113" s="7"/>
      <c r="R113" s="9">
        <f>IF(OR(ISBLANK(masio[[#This Row],[ميعاد التسليم]]),ISBLANK(masio[[#This Row],[ميعاد الطلب]])),0,masio[[#This Row],[ميعاد التسليم]]-masio[[#This Row],[ميعاد الطلب]])</f>
        <v>15</v>
      </c>
      <c r="S113" s="9">
        <f>IF(OR(ISBLANK(masio[[#This Row],[تاريخ التسليم]]),ISBLANK(masio[[#This Row],[ميعاد الطلب]])),0,masio[[#This Row],[تاريخ التسليم]]-masio[[#This Row],[ميعاد الطلب]])</f>
        <v>0</v>
      </c>
      <c r="T113"/>
      <c r="U113" t="s">
        <v>229</v>
      </c>
      <c r="V113" t="str">
        <f>IF(masio[[#This Row],[مده التسليم الفعليه]]=masio[[#This Row],[مده التسليم الاساسيه]],"في الموعد","خارج الموعد")</f>
        <v>خارج الموعد</v>
      </c>
    </row>
    <row r="114" spans="1:22" ht="20.100000000000001" customHeight="1" x14ac:dyDescent="0.3">
      <c r="A114"/>
      <c r="B114"/>
      <c r="C114"/>
      <c r="D114"/>
      <c r="E114"/>
      <c r="F114"/>
      <c r="G114"/>
      <c r="H114"/>
      <c r="I114"/>
      <c r="J114"/>
      <c r="K114"/>
      <c r="L114"/>
      <c r="M114"/>
      <c r="N114"/>
      <c r="O114"/>
      <c r="P114"/>
      <c r="Q114"/>
      <c r="R114"/>
      <c r="S114"/>
      <c r="T114"/>
      <c r="U114"/>
      <c r="V114"/>
    </row>
    <row r="115" spans="1:22" ht="20.100000000000001" customHeight="1" x14ac:dyDescent="0.3">
      <c r="A115"/>
      <c r="B115"/>
      <c r="C115"/>
      <c r="D115"/>
      <c r="E115"/>
      <c r="F115"/>
      <c r="G115"/>
      <c r="H115"/>
      <c r="I115"/>
      <c r="J115"/>
      <c r="K115"/>
      <c r="L115"/>
      <c r="M115"/>
      <c r="N115"/>
      <c r="O115"/>
      <c r="P115"/>
      <c r="Q115"/>
      <c r="R115"/>
      <c r="S115"/>
      <c r="T115"/>
      <c r="U115"/>
      <c r="V115"/>
    </row>
    <row r="116" spans="1:22" ht="20.100000000000001" customHeight="1" x14ac:dyDescent="0.3">
      <c r="A116"/>
      <c r="B116"/>
      <c r="C116"/>
      <c r="D116"/>
      <c r="E116"/>
      <c r="F116"/>
      <c r="G116"/>
      <c r="H116"/>
      <c r="I116"/>
      <c r="J116"/>
      <c r="K116"/>
      <c r="L116"/>
      <c r="M116"/>
      <c r="N116"/>
      <c r="O116"/>
      <c r="P116"/>
      <c r="Q116"/>
      <c r="R116"/>
      <c r="S116"/>
      <c r="T116"/>
      <c r="U116"/>
      <c r="V116"/>
    </row>
    <row r="117" spans="1:22" ht="20.100000000000001" customHeight="1" x14ac:dyDescent="0.3">
      <c r="A117"/>
      <c r="B117"/>
      <c r="C117"/>
      <c r="D117"/>
      <c r="E117"/>
      <c r="F117"/>
      <c r="G117"/>
      <c r="H117"/>
      <c r="I117"/>
      <c r="J117"/>
      <c r="K117"/>
      <c r="L117"/>
      <c r="M117"/>
      <c r="N117"/>
      <c r="O117"/>
      <c r="P117"/>
      <c r="Q117"/>
      <c r="R117"/>
      <c r="S117"/>
      <c r="T117"/>
      <c r="U117"/>
      <c r="V117"/>
    </row>
    <row r="118" spans="1:22" ht="20.100000000000001" customHeight="1" x14ac:dyDescent="0.3">
      <c r="A118"/>
      <c r="B118"/>
      <c r="C118"/>
      <c r="D118"/>
      <c r="E118"/>
      <c r="F118"/>
      <c r="G118"/>
      <c r="H118"/>
      <c r="I118"/>
      <c r="J118"/>
      <c r="K118"/>
      <c r="L118"/>
      <c r="M118"/>
      <c r="N118"/>
      <c r="O118"/>
      <c r="P118"/>
      <c r="Q118"/>
      <c r="R118"/>
      <c r="S118"/>
      <c r="T118"/>
      <c r="U118"/>
      <c r="V118"/>
    </row>
    <row r="119" spans="1:22" ht="20.100000000000001" customHeight="1" x14ac:dyDescent="0.3">
      <c r="A119"/>
      <c r="B119"/>
      <c r="C119"/>
      <c r="D119"/>
      <c r="E119"/>
      <c r="F119"/>
      <c r="G119"/>
      <c r="H119"/>
      <c r="I119"/>
      <c r="J119"/>
      <c r="K119"/>
      <c r="L119"/>
      <c r="M119"/>
      <c r="N119"/>
      <c r="O119"/>
      <c r="P119"/>
      <c r="Q119"/>
      <c r="R119"/>
      <c r="S119"/>
      <c r="T119"/>
      <c r="U119"/>
      <c r="V119"/>
    </row>
    <row r="120" spans="1:22" ht="20.100000000000001" customHeight="1" x14ac:dyDescent="0.3">
      <c r="A120"/>
      <c r="B120"/>
      <c r="C120"/>
      <c r="D120"/>
      <c r="E120"/>
      <c r="F120"/>
      <c r="G120"/>
      <c r="H120"/>
      <c r="I120"/>
      <c r="J120"/>
      <c r="K120"/>
      <c r="L120"/>
      <c r="M120"/>
      <c r="N120"/>
      <c r="O120"/>
      <c r="P120"/>
      <c r="Q120"/>
      <c r="R120"/>
      <c r="S120"/>
      <c r="T120"/>
      <c r="U120"/>
      <c r="V120"/>
    </row>
    <row r="121" spans="1:22" ht="20.100000000000001" customHeight="1" x14ac:dyDescent="0.3">
      <c r="A121"/>
      <c r="B121"/>
      <c r="C121"/>
      <c r="D121"/>
      <c r="E121"/>
      <c r="F121"/>
      <c r="G121"/>
      <c r="H121"/>
      <c r="I121"/>
      <c r="J121"/>
      <c r="K121"/>
      <c r="L121"/>
      <c r="M121"/>
      <c r="N121"/>
      <c r="O121"/>
      <c r="P121"/>
      <c r="Q121"/>
      <c r="R121"/>
      <c r="S121"/>
      <c r="T121"/>
      <c r="U121"/>
      <c r="V121"/>
    </row>
    <row r="122" spans="1:22" ht="20.100000000000001" customHeight="1" x14ac:dyDescent="0.3">
      <c r="A122"/>
      <c r="B122"/>
      <c r="C122"/>
      <c r="D122"/>
      <c r="E122"/>
      <c r="F122"/>
      <c r="G122"/>
      <c r="H122"/>
      <c r="I122"/>
      <c r="J122"/>
      <c r="K122"/>
      <c r="L122"/>
      <c r="M122"/>
      <c r="N122"/>
      <c r="O122"/>
      <c r="P122"/>
      <c r="Q122"/>
      <c r="R122"/>
      <c r="S122"/>
      <c r="T122"/>
      <c r="U122"/>
      <c r="V122"/>
    </row>
    <row r="123" spans="1:22" ht="20.100000000000001" customHeight="1" x14ac:dyDescent="0.3">
      <c r="A123"/>
      <c r="B123"/>
      <c r="C123"/>
      <c r="D123"/>
      <c r="E123"/>
      <c r="F123"/>
      <c r="G123"/>
      <c r="H123"/>
      <c r="I123"/>
      <c r="J123"/>
      <c r="K123"/>
      <c r="L123"/>
      <c r="M123"/>
      <c r="N123"/>
      <c r="O123"/>
      <c r="P123"/>
      <c r="Q123"/>
      <c r="R123"/>
      <c r="S123"/>
      <c r="T123"/>
      <c r="U123"/>
      <c r="V123"/>
    </row>
    <row r="124" spans="1:22" ht="20.100000000000001" customHeight="1" x14ac:dyDescent="0.3">
      <c r="A124"/>
      <c r="B124"/>
      <c r="C124"/>
      <c r="D124"/>
      <c r="E124"/>
      <c r="F124"/>
      <c r="G124"/>
      <c r="H124"/>
      <c r="I124"/>
      <c r="J124"/>
      <c r="K124"/>
      <c r="L124"/>
      <c r="M124"/>
      <c r="N124"/>
      <c r="O124"/>
      <c r="P124"/>
      <c r="Q124"/>
      <c r="R124"/>
      <c r="S124"/>
      <c r="T124"/>
      <c r="U124"/>
      <c r="V124"/>
    </row>
    <row r="125" spans="1:22" ht="20.100000000000001" customHeight="1" x14ac:dyDescent="0.3">
      <c r="A125"/>
      <c r="B125"/>
      <c r="C125"/>
      <c r="D125"/>
      <c r="E125"/>
      <c r="F125"/>
      <c r="G125"/>
      <c r="H125"/>
      <c r="I125"/>
      <c r="J125"/>
      <c r="K125"/>
      <c r="L125"/>
      <c r="M125"/>
      <c r="N125"/>
      <c r="O125"/>
      <c r="P125"/>
      <c r="Q125"/>
      <c r="R125"/>
      <c r="S125"/>
      <c r="T125"/>
      <c r="U125"/>
      <c r="V125"/>
    </row>
    <row r="126" spans="1:22" ht="20.100000000000001" customHeight="1" x14ac:dyDescent="0.3">
      <c r="A126"/>
      <c r="B126"/>
      <c r="C126"/>
      <c r="D126"/>
      <c r="E126"/>
      <c r="F126"/>
      <c r="G126"/>
      <c r="H126"/>
      <c r="I126"/>
      <c r="J126"/>
      <c r="K126"/>
      <c r="L126"/>
      <c r="M126"/>
      <c r="N126"/>
      <c r="O126"/>
      <c r="P126"/>
      <c r="Q126"/>
      <c r="R126"/>
      <c r="S126"/>
      <c r="T126"/>
      <c r="U126"/>
      <c r="V126"/>
    </row>
    <row r="127" spans="1:22" ht="20.100000000000001" customHeight="1" x14ac:dyDescent="0.3">
      <c r="A127" s="2"/>
      <c r="B127" s="2"/>
      <c r="C127" s="2"/>
      <c r="D127" s="2"/>
      <c r="E127" s="2"/>
      <c r="F127" s="2"/>
      <c r="G127" s="2"/>
      <c r="H127" s="2"/>
      <c r="I127" s="2"/>
      <c r="J127" s="2"/>
      <c r="K127" s="3"/>
      <c r="L127" s="2"/>
      <c r="M127" s="2"/>
      <c r="N127" s="2"/>
    </row>
    <row r="128" spans="1:22" ht="20.100000000000001" customHeight="1" x14ac:dyDescent="0.3">
      <c r="A128" s="2"/>
      <c r="B128" s="2"/>
      <c r="C128" s="2"/>
      <c r="D128" s="2"/>
      <c r="E128" s="2"/>
      <c r="F128" s="2"/>
      <c r="G128" s="2"/>
      <c r="H128" s="2"/>
      <c r="I128" s="2"/>
      <c r="J128" s="2"/>
      <c r="K128" s="3"/>
      <c r="L128" s="2"/>
      <c r="M128" s="2"/>
      <c r="N128" s="2"/>
    </row>
    <row r="129" spans="1:14" ht="20.100000000000001" customHeight="1" x14ac:dyDescent="0.3">
      <c r="A129" s="2"/>
      <c r="B129" s="2"/>
      <c r="C129" s="2"/>
      <c r="D129" s="2"/>
      <c r="E129" s="2"/>
      <c r="F129" s="2"/>
      <c r="G129" s="2"/>
      <c r="H129" s="2"/>
      <c r="I129" s="2"/>
      <c r="J129" s="2"/>
      <c r="K129" s="3"/>
      <c r="L129" s="2"/>
      <c r="M129" s="2"/>
      <c r="N129" s="2"/>
    </row>
    <row r="130" spans="1:14" ht="20.100000000000001" customHeight="1" x14ac:dyDescent="0.3">
      <c r="A130" s="2"/>
      <c r="B130" s="2"/>
      <c r="C130" s="2"/>
      <c r="D130" s="2"/>
      <c r="E130" s="2"/>
      <c r="F130" s="2"/>
      <c r="G130" s="2"/>
      <c r="H130" s="2"/>
      <c r="I130" s="2"/>
      <c r="J130" s="2"/>
      <c r="K130" s="3"/>
      <c r="L130" s="2"/>
      <c r="M130" s="2"/>
      <c r="N130" s="2"/>
    </row>
    <row r="131" spans="1:14" ht="20.100000000000001" customHeight="1" x14ac:dyDescent="0.3">
      <c r="A131" s="2"/>
      <c r="B131" s="2"/>
      <c r="C131" s="2"/>
      <c r="D131" s="2"/>
      <c r="E131" s="2"/>
      <c r="F131" s="2"/>
      <c r="G131" s="2"/>
      <c r="H131" s="2"/>
      <c r="I131" s="2"/>
      <c r="J131" s="2"/>
      <c r="K131" s="3"/>
      <c r="L131" s="2"/>
      <c r="M131" s="2"/>
      <c r="N131" s="2"/>
    </row>
    <row r="132" spans="1:14" ht="20.100000000000001" customHeight="1" x14ac:dyDescent="0.3">
      <c r="A132" s="2"/>
      <c r="B132" s="2"/>
      <c r="C132" s="2"/>
      <c r="D132" s="2"/>
      <c r="E132" s="2"/>
      <c r="F132" s="2"/>
      <c r="G132" s="2"/>
      <c r="H132" s="2"/>
      <c r="I132" s="2"/>
      <c r="J132" s="2"/>
      <c r="K132" s="3"/>
      <c r="L132" s="2"/>
      <c r="M132" s="2"/>
      <c r="N132" s="2"/>
    </row>
    <row r="133" spans="1:14" ht="20.100000000000001" customHeight="1" x14ac:dyDescent="0.3">
      <c r="A133" s="2"/>
      <c r="B133" s="2"/>
      <c r="C133" s="2"/>
      <c r="D133" s="2"/>
      <c r="E133" s="2"/>
      <c r="F133" s="2"/>
      <c r="G133" s="2"/>
      <c r="H133" s="2"/>
      <c r="I133" s="2"/>
      <c r="J133" s="2"/>
      <c r="K133" s="3"/>
      <c r="L133" s="2"/>
      <c r="M133" s="2"/>
      <c r="N133" s="2"/>
    </row>
    <row r="134" spans="1:14" ht="20.100000000000001" customHeight="1" x14ac:dyDescent="0.3">
      <c r="A134" s="2"/>
      <c r="B134" s="2"/>
      <c r="C134" s="2"/>
      <c r="D134" s="2"/>
      <c r="E134" s="2"/>
      <c r="F134" s="2"/>
      <c r="G134" s="2"/>
      <c r="H134" s="2"/>
      <c r="I134" s="2"/>
      <c r="J134" s="2"/>
      <c r="K134" s="3"/>
      <c r="L134" s="2"/>
      <c r="M134" s="2"/>
      <c r="N134" s="2"/>
    </row>
    <row r="135" spans="1:14" ht="20.100000000000001" customHeight="1" x14ac:dyDescent="0.3">
      <c r="A135" s="2"/>
      <c r="B135" s="2"/>
      <c r="C135" s="2"/>
      <c r="D135" s="2"/>
      <c r="E135" s="2"/>
      <c r="F135" s="2"/>
      <c r="G135" s="2"/>
      <c r="H135" s="2"/>
      <c r="I135" s="2"/>
      <c r="J135" s="2"/>
      <c r="K135" s="3"/>
      <c r="L135" s="2"/>
      <c r="M135" s="2"/>
      <c r="N135" s="2"/>
    </row>
    <row r="136" spans="1:14" ht="20.100000000000001" customHeight="1" x14ac:dyDescent="0.3">
      <c r="A136" s="2"/>
      <c r="B136" s="2"/>
      <c r="C136" s="2"/>
      <c r="D136" s="2"/>
      <c r="E136" s="2"/>
      <c r="F136" s="2"/>
      <c r="G136" s="2"/>
      <c r="H136" s="2"/>
      <c r="I136" s="2"/>
      <c r="J136" s="2"/>
      <c r="K136" s="3"/>
      <c r="L136" s="2"/>
      <c r="M136" s="2"/>
      <c r="N136" s="2"/>
    </row>
    <row r="137" spans="1:14" ht="20.100000000000001" customHeight="1" x14ac:dyDescent="0.3">
      <c r="A137" s="2"/>
      <c r="B137" s="2"/>
      <c r="C137" s="2"/>
      <c r="D137" s="2"/>
      <c r="E137" s="2"/>
      <c r="F137" s="2"/>
      <c r="G137" s="2"/>
      <c r="H137" s="2"/>
      <c r="I137" s="2"/>
      <c r="J137" s="2"/>
      <c r="K137" s="3"/>
      <c r="L137" s="2"/>
      <c r="M137" s="2"/>
      <c r="N137" s="2"/>
    </row>
    <row r="138" spans="1:14" ht="20.100000000000001" customHeight="1" x14ac:dyDescent="0.3">
      <c r="A138" s="2"/>
      <c r="B138" s="2"/>
      <c r="C138" s="2"/>
      <c r="D138" s="2"/>
      <c r="E138" s="2"/>
      <c r="F138" s="2"/>
      <c r="G138" s="2"/>
      <c r="H138" s="2"/>
      <c r="I138" s="2"/>
      <c r="J138" s="2"/>
      <c r="K138" s="3"/>
      <c r="L138" s="2"/>
      <c r="M138" s="2"/>
      <c r="N138" s="2"/>
    </row>
    <row r="139" spans="1:14" ht="20.100000000000001" customHeight="1" x14ac:dyDescent="0.3">
      <c r="A139" s="2"/>
      <c r="B139" s="2"/>
      <c r="C139" s="2"/>
      <c r="D139" s="2"/>
      <c r="E139" s="2"/>
      <c r="F139" s="2"/>
      <c r="G139" s="2"/>
      <c r="H139" s="2"/>
      <c r="I139" s="2"/>
      <c r="J139" s="2"/>
      <c r="K139" s="3"/>
      <c r="L139" s="2"/>
      <c r="M139" s="2"/>
      <c r="N139" s="2"/>
    </row>
    <row r="140" spans="1:14" ht="20.100000000000001" customHeight="1" x14ac:dyDescent="0.3">
      <c r="A140" s="2"/>
      <c r="B140" s="2"/>
      <c r="C140" s="2"/>
      <c r="D140" s="2"/>
      <c r="E140" s="2"/>
      <c r="F140" s="2"/>
      <c r="G140" s="2"/>
      <c r="H140" s="2"/>
      <c r="I140" s="2"/>
      <c r="J140" s="2"/>
      <c r="K140" s="3"/>
      <c r="L140" s="2"/>
      <c r="M140" s="2"/>
      <c r="N140" s="2"/>
    </row>
    <row r="141" spans="1:14" ht="20.100000000000001" customHeight="1" x14ac:dyDescent="0.3">
      <c r="A141" s="2"/>
      <c r="B141" s="2"/>
      <c r="C141" s="2"/>
      <c r="D141" s="2"/>
      <c r="E141" s="2"/>
      <c r="F141" s="2"/>
      <c r="G141" s="2"/>
      <c r="H141" s="2"/>
      <c r="I141" s="2"/>
      <c r="J141" s="2"/>
      <c r="K141" s="3"/>
      <c r="L141" s="2"/>
      <c r="M141" s="2"/>
      <c r="N141" s="2"/>
    </row>
    <row r="142" spans="1:14" ht="20.100000000000001" customHeight="1" x14ac:dyDescent="0.3">
      <c r="A142" s="2"/>
      <c r="B142" s="2"/>
      <c r="C142" s="2"/>
      <c r="D142" s="2"/>
      <c r="E142" s="2"/>
      <c r="F142" s="2"/>
      <c r="G142" s="2"/>
      <c r="H142" s="2"/>
      <c r="I142" s="2"/>
      <c r="J142" s="2"/>
      <c r="K142" s="3"/>
      <c r="L142" s="2"/>
      <c r="M142" s="2"/>
      <c r="N142" s="2"/>
    </row>
    <row r="143" spans="1:14" ht="20.100000000000001" customHeight="1" x14ac:dyDescent="0.3">
      <c r="A143" s="2"/>
      <c r="B143" s="2"/>
      <c r="C143" s="2"/>
      <c r="D143" s="2"/>
      <c r="E143" s="2"/>
      <c r="F143" s="2"/>
      <c r="G143" s="2"/>
      <c r="H143" s="2"/>
      <c r="I143" s="2"/>
      <c r="J143" s="2"/>
      <c r="K143" s="3"/>
      <c r="L143" s="2"/>
      <c r="M143" s="2"/>
      <c r="N143" s="2"/>
    </row>
    <row r="144" spans="1:14" ht="20.100000000000001" customHeight="1" x14ac:dyDescent="0.3">
      <c r="A144" s="2"/>
      <c r="B144" s="2"/>
      <c r="C144" s="2"/>
      <c r="D144" s="2"/>
      <c r="E144" s="2"/>
      <c r="F144" s="2"/>
      <c r="G144" s="2"/>
      <c r="H144" s="2"/>
      <c r="I144" s="2"/>
      <c r="J144" s="2"/>
      <c r="K144" s="3"/>
      <c r="L144" s="2"/>
      <c r="M144" s="2"/>
      <c r="N144" s="2"/>
    </row>
    <row r="145" spans="1:14" ht="20.100000000000001" customHeight="1" x14ac:dyDescent="0.3">
      <c r="A145" s="2"/>
      <c r="B145" s="2"/>
      <c r="C145" s="2"/>
      <c r="D145" s="2"/>
      <c r="E145" s="2"/>
      <c r="F145" s="2"/>
      <c r="G145" s="2"/>
      <c r="H145" s="2"/>
      <c r="I145" s="2"/>
      <c r="J145" s="2"/>
      <c r="K145" s="3"/>
      <c r="L145" s="2"/>
      <c r="M145" s="2"/>
      <c r="N145" s="2"/>
    </row>
    <row r="146" spans="1:14" ht="20.100000000000001" customHeight="1" x14ac:dyDescent="0.3">
      <c r="A146" s="2"/>
      <c r="B146" s="2"/>
      <c r="C146" s="2"/>
      <c r="D146" s="2"/>
      <c r="E146" s="2"/>
      <c r="F146" s="2"/>
      <c r="G146" s="2"/>
      <c r="H146" s="2"/>
      <c r="I146" s="2"/>
      <c r="J146" s="2"/>
      <c r="K146" s="3"/>
      <c r="L146" s="2"/>
      <c r="M146" s="2"/>
      <c r="N146" s="2"/>
    </row>
    <row r="147" spans="1:14" ht="20.100000000000001" customHeight="1" x14ac:dyDescent="0.3">
      <c r="A147" s="2"/>
      <c r="B147" s="2"/>
      <c r="C147" s="2"/>
      <c r="D147" s="2"/>
      <c r="E147" s="2"/>
      <c r="F147" s="2"/>
      <c r="G147" s="2"/>
      <c r="H147" s="2"/>
      <c r="I147" s="2"/>
      <c r="J147" s="2"/>
      <c r="K147" s="3"/>
      <c r="L147" s="2"/>
      <c r="M147" s="2"/>
      <c r="N147" s="2"/>
    </row>
    <row r="148" spans="1:14" ht="20.100000000000001" customHeight="1" x14ac:dyDescent="0.3">
      <c r="A148" s="2"/>
      <c r="B148" s="2"/>
      <c r="C148" s="2"/>
      <c r="D148" s="2"/>
      <c r="E148" s="2"/>
      <c r="F148" s="2"/>
      <c r="G148" s="2"/>
      <c r="H148" s="2"/>
      <c r="I148" s="2"/>
      <c r="J148" s="2"/>
      <c r="K148" s="3"/>
      <c r="L148" s="2"/>
      <c r="M148" s="2"/>
      <c r="N148" s="2"/>
    </row>
    <row r="149" spans="1:14" ht="20.100000000000001" customHeight="1" x14ac:dyDescent="0.3">
      <c r="A149" s="2"/>
      <c r="B149" s="2"/>
      <c r="C149" s="2"/>
      <c r="D149" s="2"/>
      <c r="E149" s="2"/>
      <c r="F149" s="2"/>
      <c r="G149" s="2"/>
      <c r="H149" s="2"/>
      <c r="I149" s="2"/>
      <c r="J149" s="2"/>
      <c r="K149" s="3"/>
      <c r="L149" s="2"/>
      <c r="M149" s="2"/>
      <c r="N149" s="2"/>
    </row>
    <row r="150" spans="1:14" ht="20.100000000000001" customHeight="1" x14ac:dyDescent="0.3">
      <c r="A150" s="2"/>
      <c r="B150" s="2"/>
      <c r="C150" s="2"/>
      <c r="D150" s="2"/>
      <c r="E150" s="2"/>
      <c r="F150" s="2"/>
      <c r="G150" s="2"/>
      <c r="H150" s="2"/>
      <c r="I150" s="2"/>
      <c r="J150" s="2"/>
      <c r="K150" s="3"/>
      <c r="L150" s="2"/>
      <c r="M150" s="2"/>
      <c r="N150" s="2"/>
    </row>
    <row r="151" spans="1:14" ht="20.100000000000001" customHeight="1" x14ac:dyDescent="0.3">
      <c r="A151" s="2"/>
      <c r="B151" s="2"/>
      <c r="C151" s="2"/>
      <c r="D151" s="2"/>
      <c r="E151" s="2"/>
      <c r="F151" s="2"/>
      <c r="G151" s="2"/>
      <c r="H151" s="2"/>
      <c r="I151" s="2"/>
      <c r="J151" s="2"/>
      <c r="K151" s="3"/>
      <c r="L151" s="2"/>
      <c r="M151" s="2"/>
      <c r="N151" s="2"/>
    </row>
    <row r="152" spans="1:14" ht="20.100000000000001" customHeight="1" x14ac:dyDescent="0.3">
      <c r="A152" s="2"/>
      <c r="B152" s="2"/>
      <c r="C152" s="2"/>
      <c r="D152" s="2"/>
      <c r="E152" s="2"/>
      <c r="F152" s="2"/>
      <c r="G152" s="2"/>
      <c r="H152" s="2"/>
      <c r="I152" s="2"/>
      <c r="J152" s="2"/>
      <c r="K152" s="3"/>
      <c r="L152" s="2"/>
      <c r="M152" s="2"/>
      <c r="N152" s="2"/>
    </row>
    <row r="153" spans="1:14" ht="20.100000000000001" customHeight="1" x14ac:dyDescent="0.3">
      <c r="A153" s="2"/>
      <c r="B153" s="2"/>
      <c r="C153" s="2"/>
      <c r="D153" s="2"/>
      <c r="E153" s="2"/>
      <c r="F153" s="2"/>
      <c r="G153" s="2"/>
      <c r="H153" s="2"/>
      <c r="I153" s="2"/>
      <c r="J153" s="2"/>
      <c r="K153" s="3"/>
      <c r="L153" s="2"/>
      <c r="M153" s="2"/>
      <c r="N153" s="2"/>
    </row>
    <row r="154" spans="1:14" ht="20.100000000000001" customHeight="1" x14ac:dyDescent="0.3">
      <c r="A154" s="2"/>
      <c r="B154" s="2"/>
      <c r="C154" s="2"/>
      <c r="D154" s="2"/>
      <c r="E154" s="2"/>
      <c r="F154" s="2"/>
      <c r="G154" s="2"/>
      <c r="H154" s="2"/>
      <c r="I154" s="2"/>
      <c r="J154" s="2"/>
      <c r="K154" s="3"/>
      <c r="L154" s="2"/>
      <c r="M154" s="2"/>
      <c r="N154" s="2"/>
    </row>
    <row r="155" spans="1:14" ht="20.100000000000001" customHeight="1" x14ac:dyDescent="0.3">
      <c r="A155" s="2"/>
      <c r="B155" s="2"/>
      <c r="C155" s="2"/>
      <c r="D155" s="2"/>
      <c r="E155" s="2"/>
      <c r="F155" s="2"/>
      <c r="G155" s="2"/>
      <c r="H155" s="2"/>
      <c r="I155" s="2"/>
      <c r="J155" s="2"/>
      <c r="K155" s="3"/>
      <c r="L155" s="2"/>
      <c r="M155" s="2"/>
      <c r="N155" s="2"/>
    </row>
    <row r="156" spans="1:14" ht="20.100000000000001" customHeight="1" x14ac:dyDescent="0.3">
      <c r="A156" s="2"/>
      <c r="B156" s="2"/>
      <c r="C156" s="2"/>
      <c r="D156" s="2"/>
      <c r="E156" s="2"/>
      <c r="F156" s="2"/>
      <c r="G156" s="2"/>
      <c r="H156" s="2"/>
      <c r="I156" s="2"/>
      <c r="J156" s="2"/>
      <c r="K156" s="3"/>
      <c r="L156" s="2"/>
      <c r="M156" s="2"/>
      <c r="N156" s="2"/>
    </row>
    <row r="157" spans="1:14" ht="20.100000000000001" customHeight="1" x14ac:dyDescent="0.3">
      <c r="A157" s="2"/>
      <c r="B157" s="2"/>
      <c r="C157" s="2"/>
      <c r="D157" s="2"/>
      <c r="E157" s="2"/>
      <c r="F157" s="2"/>
      <c r="G157" s="2"/>
      <c r="H157" s="2"/>
      <c r="I157" s="2"/>
      <c r="J157" s="2"/>
      <c r="K157" s="3"/>
      <c r="L157" s="2"/>
      <c r="M157" s="2"/>
      <c r="N157" s="2"/>
    </row>
    <row r="158" spans="1:14" ht="20.100000000000001" customHeight="1" x14ac:dyDescent="0.3">
      <c r="A158" s="2"/>
      <c r="B158" s="2"/>
      <c r="C158" s="2"/>
      <c r="D158" s="2"/>
      <c r="E158" s="2"/>
      <c r="F158" s="2"/>
      <c r="G158" s="2"/>
      <c r="H158" s="2"/>
      <c r="I158" s="2"/>
      <c r="J158" s="2"/>
      <c r="K158" s="3"/>
      <c r="L158" s="2"/>
      <c r="M158" s="2"/>
      <c r="N158" s="2"/>
    </row>
    <row r="159" spans="1:14" ht="20.100000000000001" customHeight="1" x14ac:dyDescent="0.3">
      <c r="A159" s="2"/>
      <c r="B159" s="2"/>
      <c r="C159" s="2"/>
      <c r="D159" s="2"/>
      <c r="E159" s="2"/>
      <c r="F159" s="2"/>
      <c r="G159" s="2"/>
      <c r="H159" s="2"/>
      <c r="I159" s="2"/>
      <c r="J159" s="2"/>
      <c r="K159" s="3"/>
      <c r="L159" s="2"/>
      <c r="M159" s="2"/>
      <c r="N159" s="2"/>
    </row>
    <row r="160" spans="1:14" ht="20.100000000000001" customHeight="1" x14ac:dyDescent="0.3">
      <c r="A160" s="2"/>
      <c r="B160" s="2"/>
      <c r="C160" s="2"/>
      <c r="D160" s="2"/>
      <c r="E160" s="2"/>
      <c r="F160" s="2"/>
      <c r="G160" s="2"/>
      <c r="H160" s="2"/>
      <c r="I160" s="2"/>
      <c r="J160" s="2"/>
      <c r="K160" s="3"/>
      <c r="L160" s="2"/>
      <c r="M160" s="2"/>
      <c r="N160" s="2"/>
    </row>
    <row r="161" spans="1:14" ht="20.100000000000001" customHeight="1" x14ac:dyDescent="0.3">
      <c r="A161" s="2"/>
      <c r="B161" s="2"/>
      <c r="C161" s="2"/>
      <c r="D161" s="2"/>
      <c r="E161" s="2"/>
      <c r="F161" s="2"/>
      <c r="G161" s="2"/>
      <c r="H161" s="2"/>
      <c r="I161" s="2"/>
      <c r="J161" s="2"/>
      <c r="K161" s="3"/>
      <c r="L161" s="2"/>
      <c r="M161" s="2"/>
      <c r="N161" s="2"/>
    </row>
    <row r="162" spans="1:14" ht="20.100000000000001" customHeight="1" x14ac:dyDescent="0.3">
      <c r="A162" s="2"/>
      <c r="B162" s="2"/>
      <c r="C162" s="2"/>
      <c r="D162" s="2"/>
      <c r="E162" s="2"/>
      <c r="F162" s="2"/>
      <c r="G162" s="2"/>
      <c r="H162" s="2"/>
      <c r="I162" s="2"/>
      <c r="J162" s="2"/>
      <c r="K162" s="3"/>
      <c r="L162" s="2"/>
      <c r="M162" s="2"/>
      <c r="N162" s="2"/>
    </row>
    <row r="163" spans="1:14" ht="20.100000000000001" customHeight="1" x14ac:dyDescent="0.3">
      <c r="A163" s="2"/>
      <c r="B163" s="2"/>
      <c r="C163" s="2"/>
      <c r="D163" s="2"/>
      <c r="E163" s="2"/>
      <c r="F163" s="2"/>
      <c r="G163" s="2"/>
      <c r="H163" s="2"/>
      <c r="I163" s="2"/>
      <c r="J163" s="2"/>
      <c r="K163" s="3"/>
      <c r="L163" s="2"/>
      <c r="M163" s="2"/>
      <c r="N163" s="2"/>
    </row>
    <row r="164" spans="1:14" ht="20.100000000000001" customHeight="1" x14ac:dyDescent="0.3">
      <c r="A164" s="2"/>
      <c r="B164" s="2"/>
      <c r="C164" s="2"/>
      <c r="D164" s="2"/>
      <c r="E164" s="2"/>
      <c r="F164" s="2"/>
      <c r="G164" s="2"/>
      <c r="H164" s="2"/>
      <c r="I164" s="2"/>
      <c r="J164" s="2"/>
      <c r="K164" s="3"/>
      <c r="L164" s="2"/>
      <c r="M164" s="2"/>
      <c r="N164" s="2"/>
    </row>
    <row r="165" spans="1:14" ht="20.100000000000001" customHeight="1" x14ac:dyDescent="0.3">
      <c r="A165" s="2"/>
      <c r="B165" s="2"/>
      <c r="C165" s="2"/>
      <c r="D165" s="2"/>
      <c r="E165" s="2"/>
      <c r="F165" s="2"/>
      <c r="G165" s="2"/>
      <c r="H165" s="2"/>
      <c r="I165" s="2"/>
      <c r="J165" s="2"/>
      <c r="K165" s="3"/>
      <c r="L165" s="2"/>
      <c r="M165" s="2"/>
      <c r="N165" s="2"/>
    </row>
    <row r="166" spans="1:14" ht="20.100000000000001" customHeight="1" x14ac:dyDescent="0.3">
      <c r="A166" s="2"/>
      <c r="B166" s="2"/>
      <c r="C166" s="2"/>
      <c r="D166" s="2"/>
      <c r="E166" s="2"/>
      <c r="F166" s="2"/>
      <c r="G166" s="2"/>
      <c r="H166" s="2"/>
      <c r="I166" s="2"/>
      <c r="J166" s="2"/>
      <c r="K166" s="3"/>
      <c r="L166" s="2"/>
      <c r="M166" s="2"/>
      <c r="N166" s="2"/>
    </row>
    <row r="167" spans="1:14" ht="20.100000000000001" customHeight="1" x14ac:dyDescent="0.3">
      <c r="A167" s="2"/>
      <c r="B167" s="2"/>
      <c r="C167" s="2"/>
      <c r="D167" s="2"/>
      <c r="E167" s="2"/>
      <c r="F167" s="2"/>
      <c r="G167" s="2"/>
      <c r="H167" s="2"/>
      <c r="I167" s="2"/>
      <c r="J167" s="2"/>
      <c r="K167" s="3"/>
      <c r="L167" s="2"/>
      <c r="M167" s="2"/>
      <c r="N167" s="2"/>
    </row>
    <row r="168" spans="1:14" ht="20.100000000000001" customHeight="1" x14ac:dyDescent="0.3">
      <c r="A168" s="2"/>
      <c r="B168" s="2"/>
      <c r="C168" s="2"/>
      <c r="D168" s="2"/>
      <c r="E168" s="2"/>
      <c r="F168" s="2"/>
      <c r="G168" s="2"/>
      <c r="H168" s="2"/>
      <c r="I168" s="2"/>
      <c r="J168" s="2"/>
      <c r="K168" s="3"/>
      <c r="L168" s="2"/>
      <c r="M168" s="2"/>
      <c r="N168" s="2"/>
    </row>
    <row r="169" spans="1:14" ht="20.100000000000001" customHeight="1" x14ac:dyDescent="0.3">
      <c r="A169" s="2"/>
      <c r="B169" s="2"/>
      <c r="C169" s="2"/>
      <c r="D169" s="2"/>
      <c r="E169" s="2"/>
      <c r="F169" s="2"/>
      <c r="G169" s="2"/>
      <c r="H169" s="2"/>
      <c r="I169" s="2"/>
      <c r="J169" s="2"/>
      <c r="K169" s="3"/>
      <c r="L169" s="2"/>
      <c r="M169" s="2"/>
      <c r="N169" s="2"/>
    </row>
    <row r="170" spans="1:14" ht="20.100000000000001" customHeight="1" x14ac:dyDescent="0.3">
      <c r="A170" s="2"/>
      <c r="B170" s="2"/>
      <c r="C170" s="2"/>
      <c r="D170" s="2"/>
      <c r="E170" s="2"/>
      <c r="F170" s="2"/>
      <c r="G170" s="2"/>
      <c r="H170" s="2"/>
      <c r="I170" s="2"/>
      <c r="J170" s="2"/>
      <c r="K170" s="3"/>
      <c r="L170" s="2"/>
      <c r="M170" s="2"/>
      <c r="N170" s="2"/>
    </row>
    <row r="171" spans="1:14" ht="20.100000000000001" customHeight="1" x14ac:dyDescent="0.3">
      <c r="A171" s="2"/>
      <c r="B171" s="2"/>
      <c r="C171" s="2"/>
      <c r="D171" s="2"/>
      <c r="E171" s="2"/>
      <c r="F171" s="2"/>
      <c r="G171" s="2"/>
      <c r="H171" s="2"/>
      <c r="I171" s="2"/>
      <c r="J171" s="2"/>
      <c r="K171" s="3"/>
      <c r="L171" s="2"/>
      <c r="M171" s="2"/>
      <c r="N171" s="2"/>
    </row>
    <row r="172" spans="1:14" ht="20.100000000000001" customHeight="1" x14ac:dyDescent="0.3">
      <c r="A172" s="2"/>
      <c r="B172" s="2"/>
      <c r="C172" s="2"/>
      <c r="D172" s="2"/>
      <c r="E172" s="2"/>
      <c r="F172" s="2"/>
      <c r="G172" s="2"/>
      <c r="H172" s="2"/>
      <c r="I172" s="2"/>
      <c r="J172" s="2"/>
      <c r="K172" s="3"/>
      <c r="L172" s="2"/>
      <c r="M172" s="2"/>
      <c r="N172" s="2"/>
    </row>
    <row r="173" spans="1:14" ht="20.100000000000001" customHeight="1" x14ac:dyDescent="0.3">
      <c r="A173" s="2"/>
      <c r="B173" s="2"/>
      <c r="C173" s="2"/>
      <c r="D173" s="2"/>
      <c r="E173" s="2"/>
      <c r="F173" s="2"/>
      <c r="G173" s="2"/>
      <c r="H173" s="2"/>
      <c r="I173" s="2"/>
      <c r="J173" s="2"/>
      <c r="K173" s="3"/>
      <c r="L173" s="2"/>
      <c r="M173" s="2"/>
      <c r="N173" s="2"/>
    </row>
    <row r="174" spans="1:14" ht="20.100000000000001" customHeight="1" x14ac:dyDescent="0.3">
      <c r="A174" s="2"/>
      <c r="B174" s="2"/>
      <c r="C174" s="2"/>
      <c r="D174" s="2"/>
      <c r="E174" s="2"/>
      <c r="F174" s="2"/>
      <c r="G174" s="2"/>
      <c r="H174" s="2"/>
      <c r="I174" s="2"/>
      <c r="J174" s="2"/>
      <c r="K174" s="3"/>
      <c r="L174" s="2"/>
      <c r="M174" s="2"/>
      <c r="N174" s="2"/>
    </row>
    <row r="175" spans="1:14" ht="20.100000000000001" customHeight="1" x14ac:dyDescent="0.3">
      <c r="A175" s="2"/>
      <c r="B175" s="2"/>
      <c r="C175" s="2"/>
      <c r="D175" s="2"/>
      <c r="E175" s="2"/>
      <c r="F175" s="2"/>
      <c r="G175" s="2"/>
      <c r="H175" s="2"/>
      <c r="I175" s="2"/>
      <c r="J175" s="2"/>
      <c r="K175" s="3"/>
      <c r="L175" s="2"/>
      <c r="M175" s="2"/>
      <c r="N175" s="2"/>
    </row>
    <row r="176" spans="1:14" ht="20.100000000000001" customHeight="1" x14ac:dyDescent="0.3">
      <c r="A176" s="2"/>
      <c r="B176" s="2"/>
      <c r="C176" s="2"/>
      <c r="D176" s="2"/>
      <c r="E176" s="2"/>
      <c r="F176" s="2"/>
      <c r="G176" s="2"/>
      <c r="H176" s="2"/>
      <c r="I176" s="2"/>
      <c r="J176" s="2"/>
      <c r="K176" s="3"/>
      <c r="L176" s="2"/>
      <c r="M176" s="2"/>
      <c r="N176" s="2"/>
    </row>
    <row r="177" spans="1:14" ht="20.100000000000001" customHeight="1" x14ac:dyDescent="0.3">
      <c r="A177" s="2"/>
      <c r="B177" s="2"/>
      <c r="C177" s="2"/>
      <c r="D177" s="2"/>
      <c r="E177" s="2"/>
      <c r="F177" s="2"/>
      <c r="G177" s="2"/>
      <c r="H177" s="2"/>
      <c r="I177" s="2"/>
      <c r="J177" s="2"/>
      <c r="K177" s="3"/>
      <c r="L177" s="2"/>
      <c r="M177" s="2"/>
      <c r="N177" s="2"/>
    </row>
    <row r="178" spans="1:14" ht="20.100000000000001" customHeight="1" x14ac:dyDescent="0.3">
      <c r="A178" s="2"/>
      <c r="B178" s="2"/>
      <c r="C178" s="2"/>
      <c r="D178" s="2"/>
      <c r="E178" s="2"/>
      <c r="F178" s="2"/>
      <c r="G178" s="2"/>
      <c r="H178" s="2"/>
      <c r="I178" s="2"/>
      <c r="J178" s="2"/>
      <c r="K178" s="3"/>
      <c r="L178" s="2"/>
      <c r="M178" s="2"/>
      <c r="N178" s="2"/>
    </row>
    <row r="179" spans="1:14" ht="20.100000000000001" customHeight="1" x14ac:dyDescent="0.3">
      <c r="A179" s="2"/>
      <c r="B179" s="2"/>
      <c r="C179" s="2"/>
      <c r="D179" s="2"/>
      <c r="E179" s="2"/>
      <c r="F179" s="2"/>
      <c r="G179" s="2"/>
      <c r="H179" s="2"/>
      <c r="I179" s="2"/>
      <c r="J179" s="2"/>
      <c r="K179" s="3"/>
      <c r="L179" s="2"/>
      <c r="M179" s="2"/>
      <c r="N179" s="2"/>
    </row>
    <row r="180" spans="1:14" ht="20.100000000000001" customHeight="1" x14ac:dyDescent="0.3">
      <c r="A180" s="2"/>
      <c r="B180" s="2"/>
      <c r="C180" s="2"/>
      <c r="D180" s="2"/>
      <c r="E180" s="2"/>
      <c r="F180" s="2"/>
      <c r="G180" s="2"/>
      <c r="H180" s="2"/>
      <c r="I180" s="2"/>
      <c r="J180" s="2"/>
      <c r="K180" s="3"/>
      <c r="L180" s="2"/>
      <c r="M180" s="2"/>
      <c r="N180" s="2"/>
    </row>
    <row r="181" spans="1:14" ht="20.100000000000001" customHeight="1" x14ac:dyDescent="0.3">
      <c r="A181" s="2"/>
      <c r="B181" s="2"/>
      <c r="C181" s="2"/>
      <c r="D181" s="2"/>
      <c r="E181" s="2"/>
      <c r="F181" s="2"/>
      <c r="G181" s="2"/>
      <c r="H181" s="2"/>
      <c r="I181" s="2"/>
      <c r="J181" s="2"/>
      <c r="K181" s="3"/>
      <c r="L181" s="2"/>
      <c r="M181" s="2"/>
      <c r="N181" s="2"/>
    </row>
    <row r="182" spans="1:14" ht="20.100000000000001" customHeight="1" x14ac:dyDescent="0.3">
      <c r="A182" s="2"/>
      <c r="B182" s="2"/>
      <c r="C182" s="2"/>
      <c r="D182" s="2"/>
      <c r="E182" s="2"/>
      <c r="F182" s="2"/>
      <c r="G182" s="2"/>
      <c r="H182" s="2"/>
      <c r="I182" s="2"/>
      <c r="J182" s="2"/>
      <c r="K182" s="3"/>
      <c r="L182" s="2"/>
      <c r="M182" s="2"/>
      <c r="N182" s="2"/>
    </row>
    <row r="183" spans="1:14" ht="20.100000000000001" customHeight="1" x14ac:dyDescent="0.3">
      <c r="A183" s="2"/>
      <c r="B183" s="2"/>
      <c r="C183" s="2"/>
      <c r="D183" s="2"/>
      <c r="E183" s="2"/>
      <c r="F183" s="2"/>
      <c r="G183" s="2"/>
      <c r="H183" s="2"/>
      <c r="I183" s="2"/>
      <c r="J183" s="2"/>
      <c r="K183" s="3"/>
      <c r="L183" s="2"/>
      <c r="M183" s="2"/>
      <c r="N183" s="2"/>
    </row>
    <row r="184" spans="1:14" ht="20.100000000000001" customHeight="1" x14ac:dyDescent="0.3">
      <c r="A184" s="2"/>
      <c r="B184" s="2"/>
      <c r="C184" s="2"/>
      <c r="D184" s="2"/>
      <c r="E184" s="2"/>
      <c r="F184" s="2"/>
      <c r="G184" s="2"/>
      <c r="H184" s="2"/>
      <c r="I184" s="2"/>
      <c r="J184" s="2"/>
      <c r="K184" s="3"/>
      <c r="L184" s="2"/>
      <c r="M184" s="2"/>
      <c r="N184" s="2"/>
    </row>
    <row r="185" spans="1:14" ht="20.100000000000001" customHeight="1" x14ac:dyDescent="0.3">
      <c r="A185" s="2"/>
      <c r="B185" s="2"/>
      <c r="C185" s="2"/>
      <c r="D185" s="2"/>
      <c r="E185" s="2"/>
      <c r="F185" s="2"/>
      <c r="G185" s="2"/>
      <c r="H185" s="2"/>
      <c r="I185" s="2"/>
      <c r="J185" s="2"/>
      <c r="K185" s="3"/>
      <c r="L185" s="2"/>
      <c r="M185" s="2"/>
      <c r="N185" s="2"/>
    </row>
    <row r="186" spans="1:14" ht="20.100000000000001" customHeight="1" x14ac:dyDescent="0.3">
      <c r="A186" s="2"/>
      <c r="B186" s="2"/>
      <c r="C186" s="2"/>
      <c r="D186" s="2"/>
      <c r="E186" s="2"/>
      <c r="F186" s="2"/>
      <c r="G186" s="2"/>
      <c r="H186" s="2"/>
      <c r="I186" s="2"/>
      <c r="J186" s="2"/>
      <c r="K186" s="3"/>
      <c r="L186" s="2"/>
      <c r="M186" s="2"/>
      <c r="N186" s="2"/>
    </row>
    <row r="187" spans="1:14" ht="20.100000000000001" customHeight="1" x14ac:dyDescent="0.3">
      <c r="A187" s="2"/>
      <c r="B187" s="2"/>
      <c r="C187" s="2"/>
      <c r="D187" s="2"/>
      <c r="E187" s="2"/>
      <c r="F187" s="2"/>
      <c r="G187" s="2"/>
      <c r="H187" s="2"/>
      <c r="I187" s="2"/>
      <c r="J187" s="2"/>
      <c r="K187" s="3"/>
      <c r="L187" s="2"/>
      <c r="M187" s="2"/>
      <c r="N187" s="2"/>
    </row>
    <row r="188" spans="1:14" ht="20.100000000000001" customHeight="1" x14ac:dyDescent="0.3">
      <c r="A188" s="2"/>
      <c r="B188" s="2"/>
      <c r="C188" s="2"/>
      <c r="D188" s="2"/>
      <c r="E188" s="2"/>
      <c r="F188" s="2"/>
      <c r="G188" s="2"/>
      <c r="H188" s="2"/>
      <c r="I188" s="2"/>
      <c r="J188" s="2"/>
      <c r="K188" s="3"/>
      <c r="L188" s="2"/>
      <c r="M188" s="2"/>
      <c r="N188" s="2"/>
    </row>
    <row r="189" spans="1:14" ht="20.100000000000001" customHeight="1" x14ac:dyDescent="0.3">
      <c r="A189" s="2"/>
      <c r="B189" s="2"/>
      <c r="C189" s="2"/>
      <c r="D189" s="2"/>
      <c r="E189" s="2"/>
      <c r="F189" s="2"/>
      <c r="G189" s="2"/>
      <c r="H189" s="2"/>
      <c r="I189" s="2"/>
      <c r="J189" s="2"/>
      <c r="K189" s="3"/>
      <c r="L189" s="2"/>
      <c r="M189" s="2"/>
      <c r="N189" s="2"/>
    </row>
    <row r="190" spans="1:14" ht="20.100000000000001" customHeight="1" x14ac:dyDescent="0.3">
      <c r="A190" s="2"/>
      <c r="B190" s="2"/>
      <c r="C190" s="2"/>
      <c r="D190" s="2"/>
      <c r="E190" s="2"/>
      <c r="F190" s="2"/>
      <c r="G190" s="2"/>
      <c r="H190" s="2"/>
      <c r="I190" s="2"/>
      <c r="J190" s="2"/>
      <c r="K190" s="3"/>
      <c r="L190" s="2"/>
      <c r="M190" s="2"/>
      <c r="N190" s="2"/>
    </row>
    <row r="191" spans="1:14" ht="20.100000000000001" customHeight="1" x14ac:dyDescent="0.3">
      <c r="A191" s="2"/>
      <c r="B191" s="2"/>
      <c r="C191" s="2"/>
      <c r="D191" s="2"/>
      <c r="E191" s="2"/>
      <c r="F191" s="2"/>
      <c r="G191" s="2"/>
      <c r="H191" s="2"/>
      <c r="I191" s="2"/>
      <c r="J191" s="2"/>
      <c r="K191" s="3"/>
      <c r="L191" s="2"/>
      <c r="M191" s="2"/>
      <c r="N191" s="2"/>
    </row>
    <row r="192" spans="1:14" ht="20.100000000000001" customHeight="1" x14ac:dyDescent="0.3">
      <c r="A192" s="2"/>
      <c r="B192" s="2"/>
      <c r="C192" s="2"/>
      <c r="D192" s="2"/>
      <c r="E192" s="2"/>
      <c r="F192" s="2"/>
      <c r="G192" s="2"/>
      <c r="H192" s="2"/>
      <c r="I192" s="2"/>
      <c r="J192" s="2"/>
      <c r="K192" s="3"/>
      <c r="L192" s="2"/>
      <c r="M192" s="2"/>
      <c r="N192" s="2"/>
    </row>
    <row r="193" spans="1:14" ht="20.100000000000001" customHeight="1" x14ac:dyDescent="0.3">
      <c r="A193" s="2"/>
      <c r="B193" s="2"/>
      <c r="C193" s="2"/>
      <c r="D193" s="2"/>
      <c r="E193" s="2"/>
      <c r="F193" s="2"/>
      <c r="G193" s="2"/>
      <c r="H193" s="2"/>
      <c r="I193" s="2"/>
      <c r="J193" s="2"/>
      <c r="K193" s="3"/>
      <c r="L193" s="2"/>
      <c r="M193" s="2"/>
      <c r="N193" s="2"/>
    </row>
    <row r="194" spans="1:14" ht="20.100000000000001" customHeight="1" x14ac:dyDescent="0.3">
      <c r="A194" s="2"/>
      <c r="B194" s="2"/>
      <c r="C194" s="2"/>
      <c r="D194" s="2"/>
      <c r="E194" s="2"/>
      <c r="F194" s="2"/>
      <c r="G194" s="2"/>
      <c r="H194" s="2"/>
      <c r="I194" s="2"/>
      <c r="J194" s="2"/>
      <c r="K194" s="3"/>
      <c r="L194" s="2"/>
      <c r="M194" s="2"/>
      <c r="N194" s="2"/>
    </row>
    <row r="195" spans="1:14" ht="20.100000000000001" customHeight="1" x14ac:dyDescent="0.3">
      <c r="A195" s="2"/>
      <c r="B195" s="2"/>
      <c r="C195" s="2"/>
      <c r="D195" s="2"/>
      <c r="E195" s="2"/>
      <c r="F195" s="2"/>
      <c r="G195" s="2"/>
      <c r="H195" s="2"/>
      <c r="I195" s="2"/>
      <c r="J195" s="2"/>
      <c r="K195" s="3"/>
      <c r="L195" s="2"/>
      <c r="M195" s="2"/>
      <c r="N195" s="2"/>
    </row>
    <row r="196" spans="1:14" ht="20.100000000000001" customHeight="1" x14ac:dyDescent="0.3">
      <c r="A196" s="2"/>
      <c r="B196" s="2"/>
      <c r="C196" s="2"/>
      <c r="D196" s="2"/>
      <c r="E196" s="2"/>
      <c r="F196" s="2"/>
      <c r="G196" s="2"/>
      <c r="H196" s="2"/>
      <c r="I196" s="2"/>
      <c r="J196" s="2"/>
      <c r="K196" s="3"/>
      <c r="L196" s="2"/>
      <c r="M196" s="2"/>
      <c r="N196" s="2"/>
    </row>
    <row r="197" spans="1:14" ht="20.100000000000001" customHeight="1" x14ac:dyDescent="0.3">
      <c r="A197" s="2"/>
      <c r="B197" s="2"/>
      <c r="C197" s="2"/>
      <c r="D197" s="2"/>
      <c r="E197" s="2"/>
      <c r="F197" s="2"/>
      <c r="G197" s="2"/>
      <c r="H197" s="2"/>
      <c r="I197" s="2"/>
      <c r="J197" s="2"/>
      <c r="K197" s="3"/>
      <c r="L197" s="2"/>
      <c r="M197" s="2"/>
      <c r="N197" s="2"/>
    </row>
    <row r="198" spans="1:14" ht="20.100000000000001" customHeight="1" x14ac:dyDescent="0.3">
      <c r="A198" s="2"/>
      <c r="B198" s="2"/>
      <c r="C198" s="2"/>
      <c r="D198" s="2"/>
      <c r="E198" s="2"/>
      <c r="F198" s="2"/>
      <c r="G198" s="2"/>
      <c r="H198" s="2"/>
      <c r="I198" s="2"/>
      <c r="J198" s="2"/>
      <c r="K198" s="3"/>
      <c r="L198" s="2"/>
      <c r="M198" s="2"/>
      <c r="N198" s="2"/>
    </row>
    <row r="199" spans="1:14" ht="20.100000000000001" customHeight="1" x14ac:dyDescent="0.3">
      <c r="A199" s="2"/>
      <c r="B199" s="2"/>
      <c r="C199" s="2"/>
      <c r="D199" s="2"/>
      <c r="E199" s="2"/>
      <c r="F199" s="2"/>
      <c r="G199" s="2"/>
      <c r="H199" s="2"/>
      <c r="I199" s="2"/>
      <c r="J199" s="2"/>
      <c r="K199" s="3"/>
      <c r="L199" s="2"/>
      <c r="M199" s="2"/>
      <c r="N199" s="2"/>
    </row>
    <row r="200" spans="1:14" ht="20.100000000000001" customHeight="1" x14ac:dyDescent="0.3">
      <c r="A200" s="2"/>
      <c r="B200" s="2"/>
      <c r="C200" s="2"/>
      <c r="D200" s="2"/>
      <c r="E200" s="2"/>
      <c r="F200" s="2"/>
      <c r="G200" s="2"/>
      <c r="H200" s="2"/>
      <c r="I200" s="2"/>
      <c r="J200" s="2"/>
      <c r="K200" s="3"/>
      <c r="L200" s="2"/>
      <c r="M200" s="2"/>
      <c r="N200" s="2"/>
    </row>
    <row r="201" spans="1:14" ht="20.100000000000001" customHeight="1" x14ac:dyDescent="0.3">
      <c r="A201" s="2"/>
      <c r="B201" s="2"/>
      <c r="C201" s="2"/>
      <c r="D201" s="2"/>
      <c r="E201" s="2"/>
      <c r="F201" s="2"/>
      <c r="G201" s="2"/>
      <c r="H201" s="2"/>
      <c r="I201" s="2"/>
      <c r="J201" s="2"/>
      <c r="K201" s="3"/>
      <c r="L201" s="2"/>
      <c r="M201" s="2"/>
      <c r="N201" s="2"/>
    </row>
    <row r="202" spans="1:14" ht="20.100000000000001" customHeight="1" x14ac:dyDescent="0.3">
      <c r="A202" s="2"/>
      <c r="B202" s="2"/>
      <c r="C202" s="2"/>
      <c r="D202" s="2"/>
      <c r="E202" s="2"/>
      <c r="F202" s="2"/>
      <c r="G202" s="2"/>
      <c r="H202" s="2"/>
      <c r="I202" s="2"/>
      <c r="J202" s="2"/>
      <c r="K202" s="3"/>
      <c r="L202" s="2"/>
      <c r="M202" s="2"/>
      <c r="N202" s="2"/>
    </row>
    <row r="203" spans="1:14" ht="20.100000000000001" customHeight="1" x14ac:dyDescent="0.3">
      <c r="A203" s="2"/>
      <c r="B203" s="2"/>
      <c r="C203" s="2"/>
      <c r="D203" s="2"/>
      <c r="E203" s="2"/>
      <c r="F203" s="2"/>
      <c r="G203" s="2"/>
      <c r="H203" s="2"/>
      <c r="I203" s="2"/>
      <c r="J203" s="2"/>
      <c r="K203" s="3"/>
      <c r="L203" s="2"/>
      <c r="M203" s="2"/>
      <c r="N203" s="2"/>
    </row>
    <row r="204" spans="1:14" ht="20.100000000000001" customHeight="1" x14ac:dyDescent="0.3">
      <c r="A204" s="2"/>
      <c r="B204" s="2"/>
      <c r="C204" s="2"/>
      <c r="D204" s="2"/>
      <c r="E204" s="2"/>
      <c r="F204" s="2"/>
      <c r="G204" s="2"/>
      <c r="H204" s="2"/>
      <c r="I204" s="2"/>
      <c r="J204" s="2"/>
      <c r="K204" s="3"/>
      <c r="L204" s="2"/>
      <c r="M204" s="2"/>
      <c r="N204" s="2"/>
    </row>
    <row r="205" spans="1:14" ht="20.100000000000001" customHeight="1" x14ac:dyDescent="0.3">
      <c r="A205" s="2"/>
      <c r="B205" s="2"/>
      <c r="C205" s="2"/>
      <c r="D205" s="2"/>
      <c r="E205" s="2"/>
      <c r="F205" s="2"/>
      <c r="G205" s="2"/>
      <c r="H205" s="2"/>
      <c r="I205" s="2"/>
      <c r="J205" s="2"/>
      <c r="K205" s="3"/>
      <c r="L205" s="2"/>
      <c r="M205" s="2"/>
      <c r="N205" s="2"/>
    </row>
    <row r="206" spans="1:14" ht="20.100000000000001" customHeight="1" x14ac:dyDescent="0.3">
      <c r="A206" s="2"/>
      <c r="B206" s="2"/>
      <c r="C206" s="2"/>
      <c r="D206" s="2"/>
      <c r="E206" s="2"/>
      <c r="F206" s="2"/>
      <c r="G206" s="2"/>
      <c r="H206" s="2"/>
      <c r="I206" s="2"/>
      <c r="J206" s="2"/>
      <c r="K206" s="3"/>
      <c r="L206" s="2"/>
      <c r="M206" s="2"/>
      <c r="N206" s="2"/>
    </row>
    <row r="207" spans="1:14" ht="20.100000000000001" customHeight="1" x14ac:dyDescent="0.3">
      <c r="A207" s="2"/>
      <c r="B207" s="2"/>
      <c r="C207" s="2"/>
      <c r="D207" s="2"/>
      <c r="E207" s="2"/>
      <c r="F207" s="2"/>
      <c r="G207" s="2"/>
      <c r="H207" s="2"/>
      <c r="I207" s="2"/>
      <c r="J207" s="2"/>
      <c r="K207" s="3"/>
      <c r="L207" s="2"/>
      <c r="M207" s="2"/>
      <c r="N207" s="2"/>
    </row>
    <row r="208" spans="1:14" ht="20.100000000000001" customHeight="1" x14ac:dyDescent="0.3">
      <c r="A208" s="2"/>
      <c r="B208" s="2"/>
      <c r="C208" s="2"/>
      <c r="D208" s="2"/>
      <c r="E208" s="2"/>
      <c r="F208" s="2"/>
      <c r="G208" s="2"/>
      <c r="H208" s="2"/>
      <c r="I208" s="2"/>
      <c r="J208" s="2"/>
      <c r="K208" s="3"/>
      <c r="L208" s="2"/>
      <c r="M208" s="2"/>
      <c r="N208" s="2"/>
    </row>
    <row r="209" spans="1:14" ht="20.100000000000001" customHeight="1" x14ac:dyDescent="0.3">
      <c r="A209" s="2"/>
      <c r="B209" s="2"/>
      <c r="C209" s="2"/>
      <c r="D209" s="2"/>
      <c r="E209" s="2"/>
      <c r="F209" s="2"/>
      <c r="G209" s="2"/>
      <c r="H209" s="2"/>
      <c r="I209" s="2"/>
      <c r="J209" s="2"/>
      <c r="K209" s="3"/>
      <c r="L209" s="2"/>
      <c r="M209" s="2"/>
      <c r="N209" s="2"/>
    </row>
    <row r="210" spans="1:14" ht="20.100000000000001" customHeight="1" x14ac:dyDescent="0.3">
      <c r="A210" s="2"/>
      <c r="B210" s="2"/>
      <c r="C210" s="2"/>
      <c r="D210" s="2"/>
      <c r="E210" s="2"/>
      <c r="F210" s="2"/>
      <c r="G210" s="2"/>
      <c r="H210" s="2"/>
      <c r="I210" s="2"/>
      <c r="J210" s="2"/>
      <c r="K210" s="3"/>
      <c r="L210" s="2"/>
      <c r="M210" s="2"/>
      <c r="N210" s="2"/>
    </row>
    <row r="211" spans="1:14" ht="20.100000000000001" customHeight="1" x14ac:dyDescent="0.3">
      <c r="A211" s="2"/>
      <c r="B211" s="2"/>
      <c r="C211" s="2"/>
      <c r="D211" s="2"/>
      <c r="E211" s="2"/>
      <c r="F211" s="2"/>
      <c r="G211" s="2"/>
      <c r="H211" s="2"/>
      <c r="I211" s="2"/>
      <c r="J211" s="2"/>
      <c r="K211" s="3"/>
      <c r="L211" s="2"/>
      <c r="M211" s="2"/>
      <c r="N211" s="2"/>
    </row>
    <row r="212" spans="1:14" ht="20.100000000000001" customHeight="1" x14ac:dyDescent="0.3">
      <c r="A212" s="2"/>
      <c r="B212" s="2"/>
      <c r="C212" s="2"/>
      <c r="D212" s="2"/>
      <c r="E212" s="2"/>
      <c r="F212" s="2"/>
      <c r="G212" s="2"/>
      <c r="H212" s="2"/>
      <c r="I212" s="2"/>
      <c r="J212" s="2"/>
      <c r="K212" s="3"/>
      <c r="L212" s="2"/>
      <c r="M212" s="2"/>
      <c r="N212" s="2"/>
    </row>
    <row r="213" spans="1:14" ht="20.100000000000001" customHeight="1" x14ac:dyDescent="0.3">
      <c r="A213" s="2"/>
      <c r="B213" s="2"/>
      <c r="C213" s="2"/>
      <c r="D213" s="2"/>
      <c r="E213" s="2"/>
      <c r="F213" s="2"/>
      <c r="G213" s="2"/>
      <c r="H213" s="2"/>
      <c r="I213" s="2"/>
      <c r="J213" s="2"/>
      <c r="K213" s="3"/>
      <c r="L213" s="2"/>
      <c r="M213" s="2"/>
      <c r="N213" s="2"/>
    </row>
    <row r="214" spans="1:14" ht="20.100000000000001" customHeight="1" x14ac:dyDescent="0.3">
      <c r="A214" s="2"/>
      <c r="B214" s="2"/>
      <c r="C214" s="2"/>
      <c r="D214" s="2"/>
      <c r="E214" s="2"/>
      <c r="F214" s="2"/>
      <c r="G214" s="2"/>
      <c r="H214" s="2"/>
      <c r="I214" s="2"/>
      <c r="J214" s="2"/>
      <c r="K214" s="3"/>
      <c r="L214" s="2"/>
      <c r="M214" s="2"/>
      <c r="N214" s="2"/>
    </row>
    <row r="215" spans="1:14" ht="20.100000000000001" customHeight="1" x14ac:dyDescent="0.3">
      <c r="A215" s="2"/>
      <c r="B215" s="2"/>
      <c r="C215" s="2"/>
      <c r="D215" s="2"/>
      <c r="E215" s="2"/>
      <c r="F215" s="2"/>
      <c r="G215" s="2"/>
      <c r="H215" s="2"/>
      <c r="I215" s="2"/>
      <c r="J215" s="2"/>
      <c r="K215" s="3"/>
      <c r="L215" s="2"/>
      <c r="M215" s="2"/>
      <c r="N215" s="2"/>
    </row>
    <row r="216" spans="1:14" ht="20.100000000000001" customHeight="1" x14ac:dyDescent="0.3">
      <c r="A216" s="2"/>
      <c r="B216" s="2"/>
      <c r="C216" s="2"/>
      <c r="D216" s="2"/>
      <c r="E216" s="2"/>
      <c r="F216" s="2"/>
      <c r="G216" s="2"/>
      <c r="H216" s="2"/>
      <c r="I216" s="2"/>
      <c r="J216" s="2"/>
      <c r="K216" s="3"/>
      <c r="L216" s="2"/>
      <c r="M216" s="2"/>
      <c r="N216" s="2"/>
    </row>
    <row r="217" spans="1:14" ht="20.100000000000001" customHeight="1" x14ac:dyDescent="0.3">
      <c r="A217" s="2"/>
      <c r="B217" s="2"/>
      <c r="C217" s="2"/>
      <c r="D217" s="2"/>
      <c r="E217" s="2"/>
      <c r="F217" s="2"/>
      <c r="G217" s="2"/>
      <c r="H217" s="2"/>
      <c r="I217" s="2"/>
      <c r="J217" s="2"/>
      <c r="K217" s="3"/>
      <c r="L217" s="2"/>
      <c r="M217" s="2"/>
      <c r="N217" s="2"/>
    </row>
    <row r="218" spans="1:14" ht="20.100000000000001" customHeight="1" x14ac:dyDescent="0.3">
      <c r="A218" s="2"/>
      <c r="B218" s="2"/>
      <c r="C218" s="2"/>
      <c r="D218" s="2"/>
      <c r="E218" s="2"/>
      <c r="F218" s="2"/>
      <c r="G218" s="2"/>
      <c r="H218" s="2"/>
      <c r="I218" s="2"/>
      <c r="J218" s="2"/>
      <c r="K218" s="3"/>
      <c r="L218" s="2"/>
      <c r="M218" s="2"/>
      <c r="N218" s="2"/>
    </row>
    <row r="219" spans="1:14" ht="20.100000000000001" customHeight="1" x14ac:dyDescent="0.3">
      <c r="A219" s="2"/>
      <c r="B219" s="2"/>
      <c r="C219" s="2"/>
      <c r="D219" s="2"/>
      <c r="E219" s="2"/>
      <c r="F219" s="2"/>
      <c r="G219" s="2"/>
      <c r="H219" s="2"/>
      <c r="I219" s="2"/>
      <c r="J219" s="2"/>
      <c r="K219" s="3"/>
      <c r="L219" s="2"/>
      <c r="M219" s="2"/>
      <c r="N219" s="2"/>
    </row>
    <row r="220" spans="1:14" ht="20.100000000000001" customHeight="1" x14ac:dyDescent="0.3">
      <c r="A220" s="2"/>
      <c r="B220" s="2"/>
      <c r="C220" s="2"/>
      <c r="D220" s="2"/>
      <c r="E220" s="2"/>
      <c r="F220" s="2"/>
      <c r="G220" s="2"/>
      <c r="H220" s="2"/>
      <c r="I220" s="2"/>
      <c r="J220" s="2"/>
      <c r="K220" s="3"/>
      <c r="L220" s="2"/>
      <c r="M220" s="2"/>
      <c r="N220" s="2"/>
    </row>
    <row r="221" spans="1:14" ht="20.100000000000001" customHeight="1" x14ac:dyDescent="0.3">
      <c r="A221" s="2"/>
      <c r="B221" s="2"/>
      <c r="C221" s="2"/>
      <c r="D221" s="2"/>
      <c r="E221" s="2"/>
      <c r="F221" s="2"/>
      <c r="G221" s="2"/>
      <c r="H221" s="2"/>
      <c r="I221" s="2"/>
      <c r="J221" s="2"/>
      <c r="K221" s="3"/>
      <c r="L221" s="2"/>
      <c r="M221" s="2"/>
      <c r="N221" s="2"/>
    </row>
    <row r="222" spans="1:14" ht="20.100000000000001" customHeight="1" x14ac:dyDescent="0.3">
      <c r="A222" s="2"/>
      <c r="B222" s="2"/>
      <c r="C222" s="2"/>
      <c r="D222" s="2"/>
      <c r="E222" s="2"/>
      <c r="F222" s="2"/>
      <c r="G222" s="2"/>
      <c r="H222" s="2"/>
      <c r="I222" s="2"/>
      <c r="J222" s="2"/>
      <c r="K222" s="3"/>
      <c r="L222" s="2"/>
      <c r="M222" s="2"/>
      <c r="N222" s="2"/>
    </row>
    <row r="223" spans="1:14" ht="20.100000000000001" customHeight="1" x14ac:dyDescent="0.3">
      <c r="A223" s="2"/>
      <c r="B223" s="2"/>
      <c r="C223" s="2"/>
      <c r="D223" s="2"/>
      <c r="E223" s="2"/>
      <c r="F223" s="2"/>
      <c r="G223" s="2"/>
      <c r="H223" s="2"/>
      <c r="I223" s="2"/>
      <c r="J223" s="2"/>
      <c r="K223" s="3"/>
      <c r="L223" s="2"/>
      <c r="M223" s="2"/>
      <c r="N223" s="2"/>
    </row>
    <row r="224" spans="1:14" ht="20.100000000000001" customHeight="1" x14ac:dyDescent="0.3">
      <c r="A224" s="2"/>
      <c r="B224" s="2"/>
      <c r="C224" s="2"/>
      <c r="D224" s="2"/>
      <c r="E224" s="2"/>
      <c r="F224" s="2"/>
      <c r="G224" s="2"/>
      <c r="H224" s="2"/>
      <c r="I224" s="2"/>
      <c r="J224" s="2"/>
      <c r="K224" s="3"/>
      <c r="L224" s="2"/>
      <c r="M224" s="2"/>
      <c r="N224" s="2"/>
    </row>
    <row r="225" spans="1:14" ht="20.100000000000001" customHeight="1" x14ac:dyDescent="0.3">
      <c r="A225" s="2"/>
      <c r="B225" s="2"/>
      <c r="C225" s="2"/>
      <c r="D225" s="2"/>
      <c r="E225" s="2"/>
      <c r="F225" s="2"/>
      <c r="G225" s="2"/>
      <c r="H225" s="2"/>
      <c r="I225" s="2"/>
      <c r="J225" s="2"/>
      <c r="K225" s="3"/>
      <c r="L225" s="2"/>
      <c r="M225" s="2"/>
      <c r="N225" s="2"/>
    </row>
    <row r="226" spans="1:14" ht="20.100000000000001" customHeight="1" x14ac:dyDescent="0.3">
      <c r="A226" s="2"/>
      <c r="B226" s="2"/>
      <c r="C226" s="2"/>
      <c r="D226" s="2"/>
      <c r="E226" s="2"/>
      <c r="F226" s="2"/>
      <c r="G226" s="2"/>
      <c r="H226" s="2"/>
      <c r="I226" s="2"/>
      <c r="J226" s="2"/>
      <c r="K226" s="3"/>
      <c r="L226" s="2"/>
      <c r="M226" s="2"/>
      <c r="N226" s="2"/>
    </row>
    <row r="227" spans="1:14" ht="20.100000000000001" customHeight="1" x14ac:dyDescent="0.3">
      <c r="A227" s="2"/>
      <c r="B227" s="2"/>
      <c r="C227" s="2"/>
      <c r="D227" s="2"/>
      <c r="E227" s="2"/>
      <c r="F227" s="2"/>
      <c r="G227" s="2"/>
      <c r="H227" s="2"/>
      <c r="I227" s="2"/>
      <c r="J227" s="2"/>
      <c r="K227" s="3"/>
      <c r="L227" s="2"/>
      <c r="M227" s="2"/>
      <c r="N227" s="2"/>
    </row>
    <row r="228" spans="1:14" ht="20.100000000000001" customHeight="1" x14ac:dyDescent="0.3">
      <c r="A228" s="2"/>
      <c r="B228" s="2"/>
      <c r="C228" s="2"/>
      <c r="D228" s="2"/>
      <c r="E228" s="2"/>
      <c r="F228" s="2"/>
      <c r="G228" s="2"/>
      <c r="H228" s="2"/>
      <c r="I228" s="2"/>
      <c r="J228" s="2"/>
      <c r="K228" s="3"/>
      <c r="L228" s="2"/>
      <c r="M228" s="2"/>
      <c r="N228" s="2"/>
    </row>
    <row r="229" spans="1:14" ht="20.100000000000001" customHeight="1" x14ac:dyDescent="0.3">
      <c r="A229" s="2"/>
      <c r="B229" s="2"/>
      <c r="C229" s="2"/>
      <c r="D229" s="2"/>
      <c r="E229" s="2"/>
      <c r="F229" s="2"/>
      <c r="G229" s="2"/>
      <c r="H229" s="2"/>
      <c r="I229" s="2"/>
      <c r="J229" s="2"/>
      <c r="K229" s="3"/>
      <c r="L229" s="2"/>
      <c r="M229" s="2"/>
      <c r="N229" s="2"/>
    </row>
    <row r="230" spans="1:14" ht="20.100000000000001" customHeight="1" x14ac:dyDescent="0.3">
      <c r="A230" s="2"/>
      <c r="B230" s="2"/>
      <c r="C230" s="2"/>
      <c r="D230" s="2"/>
      <c r="E230" s="2"/>
      <c r="F230" s="2"/>
      <c r="G230" s="2"/>
      <c r="H230" s="2"/>
      <c r="I230" s="2"/>
      <c r="J230" s="2"/>
      <c r="K230" s="3"/>
      <c r="L230" s="2"/>
      <c r="M230" s="2"/>
      <c r="N230" s="2"/>
    </row>
    <row r="231" spans="1:14" ht="20.100000000000001" customHeight="1" x14ac:dyDescent="0.3">
      <c r="A231" s="2"/>
      <c r="B231" s="2"/>
      <c r="C231" s="2"/>
      <c r="D231" s="2"/>
      <c r="E231" s="2"/>
      <c r="F231" s="2"/>
      <c r="G231" s="2"/>
      <c r="H231" s="2"/>
      <c r="I231" s="2"/>
      <c r="J231" s="2"/>
      <c r="K231" s="3"/>
      <c r="L231" s="2"/>
      <c r="M231" s="2"/>
      <c r="N231" s="2"/>
    </row>
    <row r="232" spans="1:14" ht="20.100000000000001" customHeight="1" x14ac:dyDescent="0.3">
      <c r="A232" s="2"/>
      <c r="B232" s="2"/>
      <c r="C232" s="2"/>
      <c r="D232" s="2"/>
      <c r="E232" s="2"/>
      <c r="F232" s="2"/>
      <c r="G232" s="2"/>
      <c r="H232" s="2"/>
      <c r="I232" s="2"/>
      <c r="J232" s="2"/>
      <c r="K232" s="3"/>
      <c r="L232" s="2"/>
      <c r="M232" s="2"/>
      <c r="N232" s="2"/>
    </row>
    <row r="233" spans="1:14" ht="20.100000000000001" customHeight="1" x14ac:dyDescent="0.3">
      <c r="A233" s="2"/>
      <c r="B233" s="2"/>
      <c r="C233" s="2"/>
      <c r="D233" s="2"/>
      <c r="E233" s="2"/>
      <c r="F233" s="2"/>
      <c r="G233" s="2"/>
      <c r="H233" s="2"/>
      <c r="I233" s="2"/>
      <c r="J233" s="2"/>
      <c r="K233" s="3"/>
      <c r="L233" s="2"/>
      <c r="M233" s="2"/>
      <c r="N233" s="2"/>
    </row>
    <row r="234" spans="1:14" ht="20.100000000000001" customHeight="1" x14ac:dyDescent="0.3">
      <c r="A234" s="2"/>
      <c r="B234" s="2"/>
      <c r="C234" s="2"/>
      <c r="D234" s="2"/>
      <c r="E234" s="2"/>
      <c r="F234" s="2"/>
      <c r="G234" s="2"/>
      <c r="H234" s="2"/>
      <c r="I234" s="2"/>
      <c r="J234" s="2"/>
      <c r="K234" s="3"/>
      <c r="L234" s="2"/>
      <c r="M234" s="2"/>
      <c r="N234" s="2"/>
    </row>
    <row r="235" spans="1:14" ht="20.100000000000001" customHeight="1" x14ac:dyDescent="0.3">
      <c r="A235" s="2"/>
      <c r="B235" s="2"/>
      <c r="C235" s="2"/>
      <c r="D235" s="2"/>
      <c r="E235" s="2"/>
      <c r="F235" s="2"/>
      <c r="G235" s="2"/>
      <c r="H235" s="2"/>
      <c r="I235" s="2"/>
      <c r="J235" s="2"/>
      <c r="K235" s="3"/>
      <c r="L235" s="2"/>
      <c r="M235" s="2"/>
      <c r="N235" s="2"/>
    </row>
    <row r="236" spans="1:14" ht="20.100000000000001" customHeight="1" x14ac:dyDescent="0.3">
      <c r="A236" s="2"/>
      <c r="B236" s="2"/>
      <c r="C236" s="2"/>
      <c r="D236" s="2"/>
      <c r="E236" s="2"/>
      <c r="F236" s="2"/>
      <c r="G236" s="2"/>
      <c r="H236" s="2"/>
      <c r="I236" s="2"/>
      <c r="J236" s="2"/>
      <c r="K236" s="3"/>
      <c r="L236" s="2"/>
      <c r="M236" s="2"/>
      <c r="N236" s="2"/>
    </row>
    <row r="237" spans="1:14" ht="20.100000000000001" customHeight="1" x14ac:dyDescent="0.3">
      <c r="A237" s="2"/>
      <c r="B237" s="2"/>
      <c r="C237" s="2"/>
      <c r="D237" s="2"/>
      <c r="E237" s="2"/>
      <c r="F237" s="2"/>
      <c r="G237" s="2"/>
      <c r="H237" s="2"/>
      <c r="I237" s="2"/>
      <c r="J237" s="2"/>
      <c r="K237" s="3"/>
      <c r="L237" s="2"/>
      <c r="M237" s="2"/>
      <c r="N237" s="2"/>
    </row>
    <row r="238" spans="1:14" ht="20.100000000000001" customHeight="1" x14ac:dyDescent="0.3">
      <c r="A238" s="2"/>
      <c r="B238" s="2"/>
      <c r="C238" s="2"/>
      <c r="D238" s="2"/>
      <c r="E238" s="2"/>
      <c r="F238" s="2"/>
      <c r="G238" s="2"/>
      <c r="H238" s="2"/>
      <c r="I238" s="2"/>
      <c r="J238" s="2"/>
      <c r="K238" s="3"/>
      <c r="L238" s="2"/>
      <c r="M238" s="2"/>
      <c r="N238" s="2"/>
    </row>
    <row r="239" spans="1:14" ht="20.100000000000001" customHeight="1" x14ac:dyDescent="0.3">
      <c r="A239" s="2"/>
      <c r="B239" s="2"/>
      <c r="C239" s="2"/>
      <c r="D239" s="2"/>
      <c r="E239" s="2"/>
      <c r="F239" s="2"/>
      <c r="G239" s="2"/>
      <c r="H239" s="2"/>
      <c r="I239" s="2"/>
      <c r="J239" s="2"/>
      <c r="K239" s="3"/>
      <c r="L239" s="2"/>
      <c r="M239" s="2"/>
      <c r="N239" s="2"/>
    </row>
    <row r="240" spans="1:14" ht="20.100000000000001" customHeight="1" x14ac:dyDescent="0.3">
      <c r="A240" s="2"/>
      <c r="B240" s="2"/>
      <c r="C240" s="2"/>
      <c r="D240" s="2"/>
      <c r="E240" s="2"/>
      <c r="F240" s="2"/>
      <c r="G240" s="2"/>
      <c r="H240" s="2"/>
      <c r="I240" s="2"/>
      <c r="J240" s="2"/>
      <c r="K240" s="3"/>
      <c r="L240" s="2"/>
      <c r="M240" s="2"/>
      <c r="N240" s="2"/>
    </row>
    <row r="241" spans="1:14" ht="20.100000000000001" customHeight="1" x14ac:dyDescent="0.3">
      <c r="A241" s="2"/>
      <c r="B241" s="2"/>
      <c r="C241" s="2"/>
      <c r="D241" s="2"/>
      <c r="E241" s="2"/>
      <c r="F241" s="2"/>
      <c r="G241" s="2"/>
      <c r="H241" s="2"/>
      <c r="I241" s="2"/>
      <c r="J241" s="2"/>
      <c r="K241" s="3"/>
      <c r="L241" s="2"/>
      <c r="M241" s="2"/>
      <c r="N241" s="2"/>
    </row>
    <row r="242" spans="1:14" ht="20.100000000000001" customHeight="1" x14ac:dyDescent="0.3">
      <c r="A242" s="2"/>
      <c r="B242" s="2"/>
      <c r="C242" s="2"/>
      <c r="D242" s="2"/>
      <c r="E242" s="2"/>
      <c r="F242" s="2"/>
      <c r="G242" s="2"/>
      <c r="H242" s="2"/>
      <c r="I242" s="2"/>
      <c r="J242" s="2"/>
      <c r="K242" s="3"/>
      <c r="L242" s="2"/>
      <c r="M242" s="2"/>
      <c r="N242" s="2"/>
    </row>
    <row r="243" spans="1:14" ht="20.100000000000001" customHeight="1" x14ac:dyDescent="0.3">
      <c r="A243" s="2"/>
      <c r="B243" s="2"/>
      <c r="C243" s="2"/>
      <c r="D243" s="2"/>
      <c r="E243" s="2"/>
      <c r="F243" s="2"/>
      <c r="G243" s="2"/>
      <c r="H243" s="2"/>
      <c r="I243" s="2"/>
      <c r="J243" s="2"/>
      <c r="K243" s="3"/>
      <c r="L243" s="2"/>
      <c r="M243" s="2"/>
      <c r="N243" s="2"/>
    </row>
    <row r="244" spans="1:14" ht="20.100000000000001" customHeight="1" x14ac:dyDescent="0.3">
      <c r="A244" s="2"/>
      <c r="B244" s="2"/>
      <c r="C244" s="2"/>
      <c r="D244" s="2"/>
      <c r="E244" s="2"/>
      <c r="F244" s="2"/>
      <c r="G244" s="2"/>
      <c r="H244" s="2"/>
      <c r="I244" s="2"/>
      <c r="J244" s="2"/>
      <c r="K244" s="3"/>
      <c r="L244" s="2"/>
      <c r="M244" s="2"/>
      <c r="N244" s="2"/>
    </row>
    <row r="245" spans="1:14" ht="20.100000000000001" customHeight="1" x14ac:dyDescent="0.3">
      <c r="A245" s="2"/>
      <c r="B245" s="2"/>
      <c r="C245" s="2"/>
      <c r="D245" s="2"/>
      <c r="E245" s="2"/>
      <c r="F245" s="2"/>
      <c r="G245" s="2"/>
      <c r="H245" s="2"/>
      <c r="I245" s="2"/>
      <c r="J245" s="2"/>
      <c r="K245" s="3"/>
      <c r="L245" s="2"/>
      <c r="M245" s="2"/>
      <c r="N245" s="2"/>
    </row>
    <row r="246" spans="1:14" ht="20.100000000000001" customHeight="1" x14ac:dyDescent="0.3">
      <c r="A246" s="2"/>
      <c r="B246" s="2"/>
      <c r="C246" s="2"/>
      <c r="D246" s="2"/>
      <c r="E246" s="2"/>
      <c r="F246" s="2"/>
      <c r="G246" s="2"/>
      <c r="H246" s="2"/>
      <c r="I246" s="2"/>
      <c r="J246" s="2"/>
      <c r="K246" s="3"/>
      <c r="L246" s="2"/>
      <c r="M246" s="2"/>
      <c r="N246" s="2"/>
    </row>
    <row r="247" spans="1:14" ht="20.100000000000001" customHeight="1" x14ac:dyDescent="0.3">
      <c r="A247" s="2"/>
      <c r="B247" s="2"/>
      <c r="C247" s="2"/>
      <c r="D247" s="2"/>
      <c r="E247" s="2"/>
      <c r="F247" s="2"/>
      <c r="G247" s="2"/>
      <c r="H247" s="2"/>
      <c r="I247" s="2"/>
      <c r="J247" s="2"/>
      <c r="K247" s="3"/>
      <c r="L247" s="2"/>
      <c r="M247" s="2"/>
      <c r="N247" s="2"/>
    </row>
    <row r="248" spans="1:14" ht="20.100000000000001" customHeight="1" x14ac:dyDescent="0.3">
      <c r="A248" s="2"/>
      <c r="B248" s="2"/>
      <c r="C248" s="2"/>
      <c r="D248" s="2"/>
      <c r="E248" s="2"/>
      <c r="F248" s="2"/>
      <c r="G248" s="2"/>
      <c r="H248" s="2"/>
      <c r="I248" s="2"/>
      <c r="J248" s="2"/>
      <c r="K248" s="3"/>
      <c r="L248" s="2"/>
      <c r="M248" s="2"/>
      <c r="N248" s="2"/>
    </row>
    <row r="249" spans="1:14" ht="20.100000000000001" customHeight="1" x14ac:dyDescent="0.3">
      <c r="A249" s="2"/>
      <c r="B249" s="2"/>
      <c r="C249" s="2"/>
      <c r="D249" s="2"/>
      <c r="E249" s="2"/>
      <c r="F249" s="2"/>
      <c r="G249" s="2"/>
      <c r="H249" s="2"/>
      <c r="I249" s="2"/>
      <c r="J249" s="2"/>
      <c r="K249" s="3"/>
      <c r="L249" s="2"/>
      <c r="M249" s="2"/>
      <c r="N249" s="2"/>
    </row>
    <row r="250" spans="1:14" ht="20.100000000000001" customHeight="1" x14ac:dyDescent="0.3">
      <c r="A250" s="2"/>
      <c r="B250" s="2"/>
      <c r="C250" s="2"/>
      <c r="D250" s="2"/>
      <c r="E250" s="2"/>
      <c r="F250" s="2"/>
      <c r="G250" s="2"/>
      <c r="H250" s="2"/>
      <c r="I250" s="2"/>
      <c r="J250" s="2"/>
      <c r="K250" s="3"/>
      <c r="L250" s="2"/>
      <c r="M250" s="2"/>
      <c r="N250" s="2"/>
    </row>
    <row r="251" spans="1:14" ht="20.100000000000001" customHeight="1" x14ac:dyDescent="0.3">
      <c r="A251" s="2"/>
      <c r="B251" s="2"/>
      <c r="C251" s="2"/>
      <c r="D251" s="2"/>
      <c r="E251" s="2"/>
      <c r="F251" s="2"/>
      <c r="G251" s="2"/>
      <c r="H251" s="2"/>
      <c r="I251" s="2"/>
      <c r="J251" s="2"/>
      <c r="K251" s="3"/>
      <c r="L251" s="2"/>
      <c r="M251" s="2"/>
      <c r="N251" s="2"/>
    </row>
    <row r="252" spans="1:14" ht="20.100000000000001" customHeight="1" x14ac:dyDescent="0.3">
      <c r="A252" s="2"/>
      <c r="B252" s="2"/>
      <c r="C252" s="2"/>
      <c r="D252" s="2"/>
      <c r="E252" s="2"/>
      <c r="F252" s="2"/>
      <c r="G252" s="2"/>
      <c r="H252" s="2"/>
      <c r="I252" s="2"/>
      <c r="J252" s="2"/>
      <c r="K252" s="3"/>
      <c r="L252" s="2"/>
      <c r="M252" s="2"/>
      <c r="N252" s="2"/>
    </row>
    <row r="253" spans="1:14" ht="20.100000000000001" customHeight="1" x14ac:dyDescent="0.3">
      <c r="A253" s="2"/>
      <c r="B253" s="2"/>
      <c r="C253" s="2"/>
      <c r="D253" s="2"/>
      <c r="E253" s="2"/>
      <c r="F253" s="2"/>
      <c r="G253" s="2"/>
      <c r="H253" s="2"/>
      <c r="I253" s="2"/>
      <c r="J253" s="2"/>
      <c r="K253" s="3"/>
      <c r="L253" s="2"/>
      <c r="M253" s="2"/>
      <c r="N253" s="2"/>
    </row>
    <row r="254" spans="1:14" ht="20.100000000000001" customHeight="1" x14ac:dyDescent="0.3">
      <c r="A254" s="2"/>
      <c r="B254" s="2"/>
      <c r="C254" s="2"/>
      <c r="D254" s="2"/>
      <c r="E254" s="2"/>
      <c r="F254" s="2"/>
      <c r="G254" s="2"/>
      <c r="H254" s="2"/>
      <c r="I254" s="2"/>
      <c r="J254" s="2"/>
      <c r="K254" s="3"/>
      <c r="L254" s="2"/>
      <c r="M254" s="2"/>
      <c r="N254" s="2"/>
    </row>
    <row r="255" spans="1:14" ht="20.100000000000001" customHeight="1" x14ac:dyDescent="0.3">
      <c r="A255" s="2"/>
      <c r="B255" s="2"/>
      <c r="C255" s="2"/>
      <c r="D255" s="2"/>
      <c r="E255" s="2"/>
      <c r="F255" s="2"/>
      <c r="G255" s="2"/>
      <c r="H255" s="2"/>
      <c r="I255" s="2"/>
      <c r="J255" s="2"/>
      <c r="K255" s="3"/>
      <c r="L255" s="2"/>
      <c r="M255" s="2"/>
      <c r="N255" s="2"/>
    </row>
    <row r="256" spans="1:14" ht="20.100000000000001" customHeight="1" x14ac:dyDescent="0.3">
      <c r="A256" s="2"/>
      <c r="B256" s="2"/>
      <c r="C256" s="2"/>
      <c r="D256" s="2"/>
      <c r="E256" s="2"/>
      <c r="F256" s="2"/>
      <c r="G256" s="2"/>
      <c r="H256" s="2"/>
      <c r="I256" s="2"/>
      <c r="J256" s="2"/>
      <c r="K256" s="3"/>
      <c r="L256" s="2"/>
      <c r="M256" s="2"/>
      <c r="N256" s="2"/>
    </row>
    <row r="257" spans="1:14" ht="20.100000000000001" customHeight="1" x14ac:dyDescent="0.3">
      <c r="A257" s="2"/>
      <c r="B257" s="2"/>
      <c r="C257" s="2"/>
      <c r="D257" s="2"/>
      <c r="E257" s="2"/>
      <c r="F257" s="2"/>
      <c r="G257" s="2"/>
      <c r="H257" s="2"/>
      <c r="I257" s="2"/>
      <c r="J257" s="2"/>
      <c r="K257" s="3"/>
      <c r="L257" s="2"/>
      <c r="M257" s="2"/>
      <c r="N257" s="2"/>
    </row>
    <row r="258" spans="1:14" ht="20.100000000000001" customHeight="1" x14ac:dyDescent="0.3">
      <c r="A258" s="2"/>
      <c r="B258" s="2"/>
      <c r="C258" s="2"/>
      <c r="D258" s="2"/>
      <c r="E258" s="2"/>
      <c r="F258" s="2"/>
      <c r="G258" s="2"/>
      <c r="H258" s="2"/>
      <c r="I258" s="2"/>
      <c r="J258" s="2"/>
      <c r="K258" s="3"/>
      <c r="L258" s="2"/>
      <c r="M258" s="2"/>
      <c r="N258" s="2"/>
    </row>
    <row r="259" spans="1:14" ht="20.100000000000001" customHeight="1" x14ac:dyDescent="0.3">
      <c r="A259" s="2"/>
      <c r="B259" s="2"/>
      <c r="C259" s="2"/>
      <c r="D259" s="2"/>
      <c r="E259" s="2"/>
      <c r="F259" s="2"/>
      <c r="G259" s="2"/>
      <c r="H259" s="2"/>
      <c r="I259" s="2"/>
      <c r="J259" s="2"/>
      <c r="K259" s="3"/>
      <c r="L259" s="2"/>
      <c r="M259" s="2"/>
      <c r="N259" s="2"/>
    </row>
    <row r="260" spans="1:14" ht="20.100000000000001" customHeight="1" x14ac:dyDescent="0.3">
      <c r="A260" s="2"/>
      <c r="B260" s="2"/>
      <c r="C260" s="2"/>
      <c r="D260" s="2"/>
      <c r="E260" s="2"/>
      <c r="F260" s="2"/>
      <c r="G260" s="2"/>
      <c r="H260" s="2"/>
      <c r="I260" s="2"/>
      <c r="J260" s="2"/>
      <c r="K260" s="3"/>
      <c r="L260" s="2"/>
      <c r="M260" s="2"/>
      <c r="N260" s="2"/>
    </row>
    <row r="261" spans="1:14" ht="20.100000000000001" customHeight="1" x14ac:dyDescent="0.3">
      <c r="A261" s="2"/>
      <c r="B261" s="2"/>
      <c r="C261" s="2"/>
      <c r="D261" s="2"/>
      <c r="E261" s="2"/>
      <c r="F261" s="2"/>
      <c r="G261" s="2"/>
      <c r="H261" s="2"/>
      <c r="I261" s="2"/>
      <c r="J261" s="2"/>
      <c r="K261" s="3"/>
      <c r="L261" s="2"/>
      <c r="M261" s="2"/>
      <c r="N261" s="2"/>
    </row>
    <row r="262" spans="1:14" ht="20.100000000000001" customHeight="1" x14ac:dyDescent="0.3">
      <c r="A262" s="2"/>
      <c r="B262" s="2"/>
      <c r="C262" s="2"/>
      <c r="D262" s="2"/>
      <c r="E262" s="2"/>
      <c r="F262" s="2"/>
      <c r="G262" s="2"/>
      <c r="H262" s="2"/>
      <c r="I262" s="2"/>
      <c r="J262" s="2"/>
      <c r="K262" s="3"/>
      <c r="L262" s="2"/>
      <c r="M262" s="2"/>
      <c r="N262" s="2"/>
    </row>
    <row r="263" spans="1:14" ht="20.100000000000001" customHeight="1" x14ac:dyDescent="0.3">
      <c r="A263" s="2"/>
      <c r="B263" s="2"/>
      <c r="C263" s="2"/>
      <c r="D263" s="2"/>
      <c r="E263" s="2"/>
      <c r="F263" s="2"/>
      <c r="G263" s="2"/>
      <c r="H263" s="2"/>
      <c r="I263" s="2"/>
      <c r="J263" s="2"/>
      <c r="K263" s="3"/>
      <c r="L263" s="2"/>
      <c r="M263" s="2"/>
      <c r="N263" s="2"/>
    </row>
    <row r="264" spans="1:14" ht="20.100000000000001" customHeight="1" x14ac:dyDescent="0.3">
      <c r="A264" s="2"/>
      <c r="B264" s="2"/>
      <c r="C264" s="2"/>
      <c r="D264" s="2"/>
      <c r="E264" s="2"/>
      <c r="F264" s="2"/>
      <c r="G264" s="2"/>
      <c r="H264" s="2"/>
      <c r="I264" s="2"/>
      <c r="J264" s="2"/>
      <c r="K264" s="3"/>
      <c r="L264" s="2"/>
      <c r="M264" s="2"/>
      <c r="N264" s="2"/>
    </row>
    <row r="265" spans="1:14" ht="20.100000000000001" customHeight="1" x14ac:dyDescent="0.3">
      <c r="A265" s="2"/>
      <c r="B265" s="2"/>
      <c r="C265" s="2"/>
      <c r="D265" s="2"/>
      <c r="E265" s="2"/>
      <c r="F265" s="2"/>
      <c r="G265" s="2"/>
      <c r="H265" s="2"/>
      <c r="I265" s="2"/>
      <c r="J265" s="2"/>
      <c r="K265" s="3"/>
      <c r="L265" s="2"/>
      <c r="M265" s="2"/>
      <c r="N265" s="2"/>
    </row>
    <row r="266" spans="1:14" ht="20.100000000000001" customHeight="1" x14ac:dyDescent="0.3">
      <c r="A266" s="2"/>
      <c r="B266" s="2"/>
      <c r="C266" s="2"/>
      <c r="D266" s="2"/>
      <c r="E266" s="2"/>
      <c r="F266" s="2"/>
      <c r="G266" s="2"/>
      <c r="H266" s="2"/>
      <c r="I266" s="2"/>
      <c r="J266" s="2"/>
      <c r="K266" s="3"/>
      <c r="L266" s="2"/>
      <c r="M266" s="2"/>
      <c r="N266" s="2"/>
    </row>
    <row r="267" spans="1:14" ht="20.100000000000001" customHeight="1" x14ac:dyDescent="0.3">
      <c r="A267" s="2"/>
      <c r="B267" s="2"/>
      <c r="C267" s="2"/>
      <c r="D267" s="2"/>
      <c r="E267" s="2"/>
      <c r="F267" s="2"/>
      <c r="G267" s="2"/>
      <c r="H267" s="2"/>
      <c r="I267" s="2"/>
      <c r="J267" s="2"/>
      <c r="K267" s="3"/>
      <c r="L267" s="2"/>
      <c r="M267" s="2"/>
      <c r="N267" s="2"/>
    </row>
    <row r="268" spans="1:14" ht="20.100000000000001" customHeight="1" x14ac:dyDescent="0.3">
      <c r="A268" s="2"/>
      <c r="B268" s="2"/>
      <c r="C268" s="2"/>
      <c r="D268" s="2"/>
      <c r="E268" s="2"/>
      <c r="F268" s="2"/>
      <c r="G268" s="2"/>
      <c r="H268" s="2"/>
      <c r="I268" s="2"/>
      <c r="J268" s="2"/>
      <c r="K268" s="3"/>
      <c r="L268" s="2"/>
      <c r="M268" s="2"/>
      <c r="N268" s="2"/>
    </row>
    <row r="269" spans="1:14" ht="20.100000000000001" customHeight="1" x14ac:dyDescent="0.3">
      <c r="A269" s="2"/>
      <c r="B269" s="2"/>
      <c r="C269" s="2"/>
      <c r="D269" s="2"/>
      <c r="E269" s="2"/>
      <c r="F269" s="2"/>
      <c r="G269" s="2"/>
      <c r="H269" s="2"/>
      <c r="I269" s="2"/>
      <c r="J269" s="2"/>
      <c r="K269" s="3"/>
      <c r="L269" s="2"/>
      <c r="M269" s="2"/>
      <c r="N269" s="2"/>
    </row>
    <row r="270" spans="1:14" ht="20.100000000000001" customHeight="1" x14ac:dyDescent="0.3">
      <c r="A270" s="2"/>
      <c r="B270" s="2"/>
      <c r="C270" s="2"/>
      <c r="D270" s="2"/>
      <c r="E270" s="2"/>
      <c r="F270" s="2"/>
      <c r="G270" s="2"/>
      <c r="H270" s="2"/>
      <c r="I270" s="2"/>
      <c r="J270" s="2"/>
      <c r="K270" s="3"/>
      <c r="L270" s="2"/>
      <c r="M270" s="2"/>
      <c r="N270" s="2"/>
    </row>
    <row r="271" spans="1:14" ht="20.100000000000001" customHeight="1" x14ac:dyDescent="0.3">
      <c r="A271" s="2"/>
      <c r="B271" s="2"/>
      <c r="C271" s="2"/>
      <c r="D271" s="2"/>
      <c r="E271" s="2"/>
      <c r="F271" s="2"/>
      <c r="G271" s="2"/>
      <c r="H271" s="2"/>
      <c r="I271" s="2"/>
      <c r="J271" s="2"/>
      <c r="K271" s="3"/>
      <c r="L271" s="2"/>
      <c r="M271" s="2"/>
      <c r="N271" s="2"/>
    </row>
    <row r="272" spans="1:14" ht="20.100000000000001" customHeight="1" x14ac:dyDescent="0.3">
      <c r="A272" s="2"/>
      <c r="B272" s="2"/>
      <c r="C272" s="2"/>
      <c r="D272" s="2"/>
      <c r="E272" s="2"/>
      <c r="F272" s="2"/>
      <c r="G272" s="2"/>
      <c r="H272" s="2"/>
      <c r="I272" s="2"/>
      <c r="J272" s="2"/>
      <c r="K272" s="3"/>
      <c r="L272" s="2"/>
      <c r="M272" s="2"/>
      <c r="N272" s="2"/>
    </row>
    <row r="273" spans="1:14" ht="20.100000000000001" customHeight="1" x14ac:dyDescent="0.3">
      <c r="A273" s="2"/>
      <c r="B273" s="2"/>
      <c r="C273" s="2"/>
      <c r="D273" s="2"/>
      <c r="E273" s="2"/>
      <c r="F273" s="2"/>
      <c r="G273" s="2"/>
      <c r="H273" s="2"/>
      <c r="I273" s="2"/>
      <c r="J273" s="2"/>
      <c r="K273" s="3"/>
      <c r="L273" s="2"/>
      <c r="M273" s="2"/>
      <c r="N273" s="2"/>
    </row>
    <row r="274" spans="1:14" ht="20.100000000000001" customHeight="1" x14ac:dyDescent="0.3">
      <c r="A274" s="2"/>
      <c r="B274" s="2"/>
      <c r="C274" s="2"/>
      <c r="D274" s="2"/>
      <c r="E274" s="2"/>
      <c r="F274" s="2"/>
      <c r="G274" s="2"/>
      <c r="H274" s="2"/>
      <c r="I274" s="2"/>
      <c r="J274" s="2"/>
      <c r="K274" s="3"/>
      <c r="L274" s="2"/>
      <c r="M274" s="2"/>
      <c r="N274" s="2"/>
    </row>
    <row r="275" spans="1:14" ht="20.100000000000001" customHeight="1" x14ac:dyDescent="0.3">
      <c r="A275" s="2"/>
      <c r="B275" s="2"/>
      <c r="C275" s="2"/>
      <c r="D275" s="2"/>
      <c r="E275" s="2"/>
      <c r="F275" s="2"/>
      <c r="G275" s="2"/>
      <c r="H275" s="2"/>
      <c r="I275" s="2"/>
      <c r="J275" s="2"/>
      <c r="K275" s="3"/>
      <c r="L275" s="2"/>
      <c r="M275" s="2"/>
      <c r="N275" s="2"/>
    </row>
    <row r="276" spans="1:14" ht="20.100000000000001" customHeight="1" x14ac:dyDescent="0.3">
      <c r="A276" s="2"/>
      <c r="B276" s="2"/>
      <c r="C276" s="2"/>
      <c r="D276" s="2"/>
      <c r="E276" s="2"/>
      <c r="F276" s="2"/>
      <c r="G276" s="2"/>
      <c r="H276" s="2"/>
      <c r="I276" s="2"/>
      <c r="J276" s="2"/>
      <c r="K276" s="3"/>
      <c r="L276" s="2"/>
      <c r="M276" s="2"/>
      <c r="N276" s="2"/>
    </row>
    <row r="277" spans="1:14" ht="20.100000000000001" customHeight="1" x14ac:dyDescent="0.3">
      <c r="A277" s="2"/>
      <c r="B277" s="2"/>
      <c r="C277" s="2"/>
      <c r="D277" s="2"/>
      <c r="E277" s="2"/>
      <c r="F277" s="2"/>
      <c r="G277" s="2"/>
      <c r="H277" s="2"/>
      <c r="I277" s="2"/>
      <c r="J277" s="2"/>
      <c r="K277" s="3"/>
      <c r="L277" s="2"/>
      <c r="M277" s="2"/>
      <c r="N277" s="2"/>
    </row>
    <row r="278" spans="1:14" ht="20.100000000000001" customHeight="1" x14ac:dyDescent="0.3">
      <c r="A278" s="2"/>
      <c r="B278" s="2"/>
      <c r="C278" s="2"/>
      <c r="D278" s="2"/>
      <c r="E278" s="2"/>
      <c r="F278" s="2"/>
      <c r="G278" s="2"/>
      <c r="H278" s="2"/>
      <c r="I278" s="2"/>
      <c r="J278" s="2"/>
      <c r="K278" s="3"/>
      <c r="L278" s="2"/>
      <c r="M278" s="2"/>
      <c r="N278" s="2"/>
    </row>
    <row r="279" spans="1:14" ht="20.100000000000001" customHeight="1" x14ac:dyDescent="0.3">
      <c r="A279" s="2"/>
      <c r="B279" s="2"/>
      <c r="C279" s="2"/>
      <c r="D279" s="2"/>
      <c r="E279" s="2"/>
      <c r="F279" s="2"/>
      <c r="G279" s="2"/>
      <c r="H279" s="2"/>
      <c r="I279" s="2"/>
      <c r="J279" s="2"/>
      <c r="K279" s="3"/>
      <c r="L279" s="2"/>
      <c r="M279" s="2"/>
      <c r="N279" s="2"/>
    </row>
    <row r="280" spans="1:14" ht="20.100000000000001" customHeight="1" x14ac:dyDescent="0.3">
      <c r="A280" s="2"/>
      <c r="B280" s="2"/>
      <c r="C280" s="2"/>
      <c r="D280" s="2"/>
      <c r="E280" s="2"/>
      <c r="F280" s="2"/>
      <c r="G280" s="2"/>
      <c r="H280" s="2"/>
      <c r="I280" s="2"/>
      <c r="J280" s="2"/>
      <c r="K280" s="3"/>
      <c r="L280" s="2"/>
      <c r="M280" s="2"/>
      <c r="N280" s="2"/>
    </row>
    <row r="281" spans="1:14" ht="20.100000000000001" customHeight="1" x14ac:dyDescent="0.3">
      <c r="A281" s="2"/>
      <c r="B281" s="2"/>
      <c r="C281" s="2"/>
      <c r="D281" s="2"/>
      <c r="E281" s="2"/>
      <c r="F281" s="2"/>
      <c r="G281" s="2"/>
      <c r="H281" s="2"/>
      <c r="I281" s="2"/>
      <c r="J281" s="2"/>
      <c r="K281" s="3"/>
      <c r="L281" s="2"/>
      <c r="M281" s="2"/>
      <c r="N281" s="2"/>
    </row>
    <row r="282" spans="1:14" ht="20.100000000000001" customHeight="1" x14ac:dyDescent="0.3">
      <c r="A282" s="2"/>
      <c r="B282" s="2"/>
      <c r="C282" s="2"/>
      <c r="D282" s="2"/>
      <c r="E282" s="2"/>
      <c r="F282" s="2"/>
      <c r="G282" s="2"/>
      <c r="H282" s="2"/>
      <c r="I282" s="2"/>
      <c r="J282" s="2"/>
      <c r="K282" s="3"/>
      <c r="L282" s="2"/>
      <c r="M282" s="2"/>
      <c r="N282" s="2"/>
    </row>
    <row r="283" spans="1:14" ht="20.100000000000001" customHeight="1" x14ac:dyDescent="0.3">
      <c r="A283" s="2"/>
      <c r="B283" s="2"/>
      <c r="C283" s="2"/>
      <c r="D283" s="2"/>
      <c r="E283" s="2"/>
      <c r="F283" s="2"/>
      <c r="G283" s="2"/>
      <c r="H283" s="2"/>
      <c r="I283" s="2"/>
      <c r="J283" s="2"/>
      <c r="K283" s="3"/>
      <c r="L283" s="2"/>
      <c r="M283" s="2"/>
      <c r="N283" s="2"/>
    </row>
    <row r="284" spans="1:14" ht="20.100000000000001" customHeight="1" x14ac:dyDescent="0.3">
      <c r="A284" s="2"/>
      <c r="B284" s="2"/>
      <c r="C284" s="2"/>
      <c r="D284" s="2"/>
      <c r="E284" s="2"/>
      <c r="F284" s="2"/>
      <c r="G284" s="2"/>
      <c r="H284" s="2"/>
      <c r="I284" s="2"/>
      <c r="J284" s="2"/>
      <c r="K284" s="3"/>
      <c r="L284" s="2"/>
      <c r="M284" s="2"/>
      <c r="N284" s="2"/>
    </row>
    <row r="285" spans="1:14" ht="20.100000000000001" customHeight="1" x14ac:dyDescent="0.3">
      <c r="A285" s="2"/>
      <c r="B285" s="2"/>
      <c r="C285" s="2"/>
      <c r="D285" s="2"/>
      <c r="E285" s="2"/>
      <c r="F285" s="2"/>
      <c r="G285" s="2"/>
      <c r="H285" s="2"/>
      <c r="I285" s="2"/>
      <c r="J285" s="2"/>
      <c r="K285" s="3"/>
      <c r="L285" s="2"/>
      <c r="M285" s="2"/>
      <c r="N285" s="2"/>
    </row>
    <row r="286" spans="1:14" ht="20.100000000000001" customHeight="1" x14ac:dyDescent="0.3">
      <c r="A286" s="2"/>
      <c r="B286" s="2"/>
      <c r="C286" s="2"/>
      <c r="D286" s="2"/>
      <c r="E286" s="2"/>
      <c r="F286" s="2"/>
      <c r="G286" s="2"/>
      <c r="H286" s="2"/>
      <c r="I286" s="2"/>
      <c r="J286" s="2"/>
      <c r="K286" s="3"/>
      <c r="L286" s="2"/>
      <c r="M286" s="2"/>
      <c r="N286" s="2"/>
    </row>
    <row r="287" spans="1:14" ht="20.100000000000001" customHeight="1" x14ac:dyDescent="0.3">
      <c r="A287" s="2"/>
      <c r="B287" s="2"/>
      <c r="C287" s="2"/>
      <c r="D287" s="2"/>
      <c r="E287" s="2"/>
      <c r="F287" s="2"/>
      <c r="G287" s="2"/>
      <c r="H287" s="2"/>
      <c r="I287" s="2"/>
      <c r="J287" s="2"/>
      <c r="K287" s="3"/>
      <c r="L287" s="2"/>
      <c r="M287" s="2"/>
      <c r="N287" s="2"/>
    </row>
    <row r="288" spans="1:14" ht="20.100000000000001" customHeight="1" x14ac:dyDescent="0.3">
      <c r="A288" s="2"/>
      <c r="B288" s="2"/>
      <c r="C288" s="2"/>
      <c r="D288" s="2"/>
      <c r="E288" s="2"/>
      <c r="F288" s="2"/>
      <c r="G288" s="2"/>
      <c r="H288" s="2"/>
      <c r="I288" s="2"/>
      <c r="J288" s="2"/>
      <c r="K288" s="3"/>
      <c r="L288" s="2"/>
      <c r="M288" s="2"/>
      <c r="N288" s="2"/>
    </row>
    <row r="289" spans="1:14" ht="20.100000000000001" customHeight="1" x14ac:dyDescent="0.3">
      <c r="A289" s="2"/>
      <c r="B289" s="2"/>
      <c r="C289" s="2"/>
      <c r="D289" s="2"/>
      <c r="E289" s="2"/>
      <c r="F289" s="2"/>
      <c r="G289" s="2"/>
      <c r="H289" s="2"/>
      <c r="I289" s="2"/>
      <c r="J289" s="2"/>
      <c r="K289" s="3"/>
      <c r="L289" s="2"/>
      <c r="M289" s="2"/>
      <c r="N289" s="2"/>
    </row>
    <row r="290" spans="1:14" ht="20.100000000000001" customHeight="1" x14ac:dyDescent="0.3">
      <c r="A290" s="2"/>
      <c r="B290" s="2"/>
      <c r="C290" s="2"/>
      <c r="D290" s="2"/>
      <c r="E290" s="2"/>
      <c r="F290" s="2"/>
      <c r="G290" s="2"/>
      <c r="H290" s="2"/>
      <c r="I290" s="2"/>
      <c r="J290" s="2"/>
      <c r="K290" s="3"/>
      <c r="L290" s="2"/>
      <c r="M290" s="2"/>
      <c r="N290" s="2"/>
    </row>
    <row r="291" spans="1:14" ht="20.100000000000001" customHeight="1" x14ac:dyDescent="0.3">
      <c r="A291" s="2"/>
      <c r="B291" s="2"/>
      <c r="C291" s="2"/>
      <c r="D291" s="2"/>
      <c r="E291" s="2"/>
      <c r="F291" s="2"/>
      <c r="G291" s="2"/>
      <c r="H291" s="2"/>
      <c r="I291" s="2"/>
      <c r="J291" s="2"/>
      <c r="K291" s="3"/>
      <c r="L291" s="2"/>
      <c r="M291" s="2"/>
      <c r="N291" s="2"/>
    </row>
    <row r="292" spans="1:14" ht="20.100000000000001" customHeight="1" x14ac:dyDescent="0.3">
      <c r="A292" s="2"/>
      <c r="B292" s="2"/>
      <c r="C292" s="2"/>
      <c r="D292" s="2"/>
      <c r="E292" s="2"/>
      <c r="F292" s="2"/>
      <c r="G292" s="2"/>
      <c r="H292" s="2"/>
      <c r="I292" s="2"/>
      <c r="J292" s="2"/>
      <c r="K292" s="3"/>
      <c r="L292" s="2"/>
      <c r="M292" s="2"/>
      <c r="N292" s="2"/>
    </row>
    <row r="293" spans="1:14" ht="20.100000000000001" customHeight="1" x14ac:dyDescent="0.3"/>
    <row r="294" spans="1:14" ht="20.100000000000001" customHeight="1" x14ac:dyDescent="0.3"/>
    <row r="295" spans="1:14" ht="20.100000000000001" customHeight="1" x14ac:dyDescent="0.3"/>
    <row r="296" spans="1:14" ht="20.100000000000001" customHeight="1" x14ac:dyDescent="0.3"/>
    <row r="297" spans="1:14" ht="20.100000000000001" customHeight="1" x14ac:dyDescent="0.3"/>
    <row r="298" spans="1:14" ht="20.100000000000001" customHeight="1" x14ac:dyDescent="0.3"/>
    <row r="299" spans="1:14" ht="20.100000000000001" customHeight="1" x14ac:dyDescent="0.3"/>
    <row r="300" spans="1:14" ht="20.100000000000001" customHeight="1" x14ac:dyDescent="0.3"/>
    <row r="301" spans="1:14" ht="20.100000000000001" customHeight="1" x14ac:dyDescent="0.3"/>
    <row r="302" spans="1:14" ht="20.100000000000001" customHeight="1" x14ac:dyDescent="0.3"/>
    <row r="303" spans="1:14" ht="20.100000000000001" customHeight="1" x14ac:dyDescent="0.3"/>
    <row r="304" spans="1:14" ht="20.100000000000001" customHeight="1" x14ac:dyDescent="0.3"/>
    <row r="305" ht="20.100000000000001" customHeight="1" x14ac:dyDescent="0.3"/>
    <row r="306" ht="20.100000000000001" customHeight="1" x14ac:dyDescent="0.3"/>
    <row r="307" ht="20.100000000000001" customHeight="1" x14ac:dyDescent="0.3"/>
    <row r="308" ht="20.100000000000001" customHeight="1" x14ac:dyDescent="0.3"/>
    <row r="309" ht="20.100000000000001" customHeight="1" x14ac:dyDescent="0.3"/>
    <row r="310" ht="20.100000000000001" customHeight="1" x14ac:dyDescent="0.3"/>
    <row r="311" ht="20.100000000000001" customHeight="1" x14ac:dyDescent="0.3"/>
    <row r="312" ht="20.100000000000001" customHeight="1" x14ac:dyDescent="0.3"/>
    <row r="313" ht="20.100000000000001" customHeight="1" x14ac:dyDescent="0.3"/>
    <row r="314" ht="20.100000000000001" customHeight="1" x14ac:dyDescent="0.3"/>
    <row r="315" ht="20.100000000000001" customHeight="1" x14ac:dyDescent="0.3"/>
    <row r="316" ht="20.100000000000001" customHeight="1" x14ac:dyDescent="0.3"/>
    <row r="317" ht="20.100000000000001" customHeight="1" x14ac:dyDescent="0.3"/>
    <row r="318" ht="20.100000000000001" customHeight="1" x14ac:dyDescent="0.3"/>
    <row r="319" ht="20.100000000000001" customHeight="1" x14ac:dyDescent="0.3"/>
    <row r="320" ht="20.100000000000001" customHeight="1" x14ac:dyDescent="0.3"/>
    <row r="321" ht="20.100000000000001" customHeight="1" x14ac:dyDescent="0.3"/>
    <row r="322" ht="20.100000000000001" customHeight="1" x14ac:dyDescent="0.3"/>
    <row r="323" ht="20.100000000000001" customHeight="1" x14ac:dyDescent="0.3"/>
    <row r="324" ht="20.100000000000001" customHeight="1" x14ac:dyDescent="0.3"/>
    <row r="325" ht="20.100000000000001" customHeight="1" x14ac:dyDescent="0.3"/>
    <row r="326" ht="20.100000000000001" customHeight="1" x14ac:dyDescent="0.3"/>
    <row r="327" ht="20.100000000000001" customHeight="1" x14ac:dyDescent="0.3"/>
    <row r="328" ht="20.100000000000001" customHeight="1" x14ac:dyDescent="0.3"/>
    <row r="329" ht="20.100000000000001" customHeight="1" x14ac:dyDescent="0.3"/>
    <row r="330" ht="20.100000000000001" customHeight="1" x14ac:dyDescent="0.3"/>
    <row r="331" ht="20.100000000000001" customHeight="1" x14ac:dyDescent="0.3"/>
    <row r="332" ht="20.100000000000001" customHeight="1" x14ac:dyDescent="0.3"/>
    <row r="333" ht="20.100000000000001" customHeight="1" x14ac:dyDescent="0.3"/>
    <row r="334" ht="20.100000000000001" customHeight="1" x14ac:dyDescent="0.3"/>
    <row r="335" ht="20.100000000000001" customHeight="1" x14ac:dyDescent="0.3"/>
    <row r="336" ht="20.100000000000001" customHeight="1" x14ac:dyDescent="0.3"/>
    <row r="337" ht="20.100000000000001" customHeight="1" x14ac:dyDescent="0.3"/>
    <row r="338" ht="20.100000000000001" customHeight="1" x14ac:dyDescent="0.3"/>
    <row r="339" ht="20.100000000000001" customHeight="1" x14ac:dyDescent="0.3"/>
    <row r="340" ht="20.100000000000001" customHeight="1" x14ac:dyDescent="0.3"/>
    <row r="341" ht="20.100000000000001" customHeight="1" x14ac:dyDescent="0.3"/>
    <row r="342" ht="20.100000000000001" customHeight="1" x14ac:dyDescent="0.3"/>
    <row r="343" ht="20.100000000000001" customHeight="1" x14ac:dyDescent="0.3"/>
    <row r="344" ht="20.100000000000001" customHeight="1" x14ac:dyDescent="0.3"/>
    <row r="345" ht="20.100000000000001" customHeight="1" x14ac:dyDescent="0.3"/>
    <row r="346" ht="20.100000000000001" customHeight="1" x14ac:dyDescent="0.3"/>
    <row r="347" ht="20.100000000000001" customHeight="1" x14ac:dyDescent="0.3"/>
    <row r="348" ht="20.100000000000001" customHeight="1" x14ac:dyDescent="0.3"/>
    <row r="349" ht="20.100000000000001" customHeight="1" x14ac:dyDescent="0.3"/>
    <row r="350" ht="20.100000000000001" customHeight="1" x14ac:dyDescent="0.3"/>
    <row r="351" ht="20.100000000000001" customHeight="1" x14ac:dyDescent="0.3"/>
    <row r="352" ht="20.100000000000001" customHeight="1" x14ac:dyDescent="0.3"/>
    <row r="353" ht="20.100000000000001" customHeight="1" x14ac:dyDescent="0.3"/>
    <row r="354" ht="20.100000000000001" customHeight="1" x14ac:dyDescent="0.3"/>
    <row r="355" ht="20.100000000000001" customHeight="1" x14ac:dyDescent="0.3"/>
    <row r="356" ht="20.100000000000001" customHeight="1" x14ac:dyDescent="0.3"/>
    <row r="357" ht="20.100000000000001" customHeight="1" x14ac:dyDescent="0.3"/>
    <row r="358" ht="20.100000000000001" customHeight="1" x14ac:dyDescent="0.3"/>
    <row r="359" ht="20.100000000000001" customHeight="1" x14ac:dyDescent="0.3"/>
    <row r="360" ht="20.100000000000001" customHeight="1" x14ac:dyDescent="0.3"/>
    <row r="361" ht="20.100000000000001" customHeight="1" x14ac:dyDescent="0.3"/>
    <row r="362" ht="20.100000000000001" customHeight="1" x14ac:dyDescent="0.3"/>
    <row r="363" ht="20.100000000000001" customHeight="1" x14ac:dyDescent="0.3"/>
    <row r="364" ht="20.100000000000001" customHeight="1" x14ac:dyDescent="0.3"/>
    <row r="365" ht="20.100000000000001" customHeight="1" x14ac:dyDescent="0.3"/>
    <row r="366" ht="20.100000000000001" customHeight="1" x14ac:dyDescent="0.3"/>
    <row r="367" ht="20.100000000000001" customHeight="1" x14ac:dyDescent="0.3"/>
    <row r="368" ht="20.100000000000001" customHeight="1" x14ac:dyDescent="0.3"/>
    <row r="369" ht="20.100000000000001" customHeight="1" x14ac:dyDescent="0.3"/>
    <row r="370" ht="20.100000000000001" customHeight="1" x14ac:dyDescent="0.3"/>
    <row r="371" ht="20.100000000000001" customHeight="1" x14ac:dyDescent="0.3"/>
    <row r="372" ht="20.100000000000001" customHeight="1" x14ac:dyDescent="0.3"/>
    <row r="373" ht="20.100000000000001" customHeight="1" x14ac:dyDescent="0.3"/>
    <row r="374" ht="20.100000000000001" customHeight="1" x14ac:dyDescent="0.3"/>
    <row r="375" ht="20.100000000000001" customHeight="1" x14ac:dyDescent="0.3"/>
    <row r="376" ht="20.100000000000001" customHeight="1" x14ac:dyDescent="0.3"/>
    <row r="377" ht="20.100000000000001" customHeight="1" x14ac:dyDescent="0.3"/>
    <row r="378" ht="20.100000000000001" customHeight="1" x14ac:dyDescent="0.3"/>
    <row r="379" ht="20.100000000000001" customHeight="1" x14ac:dyDescent="0.3"/>
    <row r="380" ht="20.100000000000001" customHeight="1" x14ac:dyDescent="0.3"/>
    <row r="381" ht="20.100000000000001" customHeight="1" x14ac:dyDescent="0.3"/>
    <row r="382" ht="20.100000000000001" customHeight="1" x14ac:dyDescent="0.3"/>
    <row r="383" ht="20.100000000000001" customHeight="1" x14ac:dyDescent="0.3"/>
    <row r="384" ht="20.100000000000001" customHeight="1" x14ac:dyDescent="0.3"/>
    <row r="385" ht="20.100000000000001" customHeight="1" x14ac:dyDescent="0.3"/>
    <row r="386" ht="20.100000000000001" customHeight="1" x14ac:dyDescent="0.3"/>
    <row r="387" ht="20.100000000000001" customHeight="1" x14ac:dyDescent="0.3"/>
    <row r="388" ht="20.100000000000001" customHeight="1" x14ac:dyDescent="0.3"/>
    <row r="389" ht="20.100000000000001" customHeight="1" x14ac:dyDescent="0.3"/>
    <row r="390" ht="20.100000000000001" customHeight="1" x14ac:dyDescent="0.3"/>
    <row r="391" ht="20.100000000000001" customHeight="1" x14ac:dyDescent="0.3"/>
    <row r="392" ht="20.100000000000001" customHeight="1" x14ac:dyDescent="0.3"/>
    <row r="393" ht="20.100000000000001" customHeight="1" x14ac:dyDescent="0.3"/>
    <row r="394" ht="20.100000000000001" customHeight="1" x14ac:dyDescent="0.3"/>
    <row r="395" ht="20.100000000000001" customHeight="1" x14ac:dyDescent="0.3"/>
    <row r="396" ht="20.100000000000001" customHeight="1" x14ac:dyDescent="0.3"/>
    <row r="397" ht="20.100000000000001" customHeight="1" x14ac:dyDescent="0.3"/>
    <row r="398" ht="20.100000000000001" customHeight="1" x14ac:dyDescent="0.3"/>
    <row r="399" ht="20.100000000000001" customHeight="1" x14ac:dyDescent="0.3"/>
    <row r="400" ht="20.100000000000001" customHeight="1" x14ac:dyDescent="0.3"/>
    <row r="401" ht="20.100000000000001" customHeight="1" x14ac:dyDescent="0.3"/>
    <row r="402" ht="20.100000000000001" customHeight="1" x14ac:dyDescent="0.3"/>
    <row r="403" ht="20.100000000000001" customHeight="1" x14ac:dyDescent="0.3"/>
    <row r="404" ht="20.100000000000001" customHeight="1" x14ac:dyDescent="0.3"/>
    <row r="405" ht="20.100000000000001" customHeight="1" x14ac:dyDescent="0.3"/>
    <row r="406" ht="20.100000000000001" customHeight="1" x14ac:dyDescent="0.3"/>
    <row r="407" ht="20.100000000000001" customHeight="1" x14ac:dyDescent="0.3"/>
    <row r="408" ht="20.100000000000001" customHeight="1" x14ac:dyDescent="0.3"/>
    <row r="409" ht="20.100000000000001" customHeight="1" x14ac:dyDescent="0.3"/>
    <row r="410" ht="20.100000000000001" customHeight="1" x14ac:dyDescent="0.3"/>
    <row r="411" ht="20.100000000000001" customHeight="1" x14ac:dyDescent="0.3"/>
    <row r="412" ht="20.100000000000001" customHeight="1" x14ac:dyDescent="0.3"/>
    <row r="413" ht="20.100000000000001" customHeight="1" x14ac:dyDescent="0.3"/>
    <row r="414" ht="20.100000000000001" customHeight="1" x14ac:dyDescent="0.3"/>
    <row r="415" ht="20.100000000000001" customHeight="1" x14ac:dyDescent="0.3"/>
    <row r="416" ht="20.100000000000001" customHeight="1" x14ac:dyDescent="0.3"/>
    <row r="417" ht="20.100000000000001" customHeight="1" x14ac:dyDescent="0.3"/>
    <row r="418" ht="20.100000000000001" customHeight="1" x14ac:dyDescent="0.3"/>
    <row r="419" ht="20.100000000000001" customHeight="1" x14ac:dyDescent="0.3"/>
    <row r="420" ht="20.100000000000001" customHeight="1" x14ac:dyDescent="0.3"/>
    <row r="421" ht="20.100000000000001" customHeight="1" x14ac:dyDescent="0.3"/>
    <row r="422" ht="20.100000000000001" customHeight="1" x14ac:dyDescent="0.3"/>
    <row r="423" ht="20.100000000000001" customHeight="1" x14ac:dyDescent="0.3"/>
    <row r="424" ht="20.100000000000001" customHeight="1" x14ac:dyDescent="0.3"/>
    <row r="425" ht="20.100000000000001" customHeight="1" x14ac:dyDescent="0.3"/>
    <row r="426" ht="20.100000000000001" customHeight="1" x14ac:dyDescent="0.3"/>
    <row r="427" ht="20.100000000000001" customHeight="1" x14ac:dyDescent="0.3"/>
    <row r="428" ht="20.100000000000001" customHeight="1" x14ac:dyDescent="0.3"/>
    <row r="429" ht="20.100000000000001" customHeight="1" x14ac:dyDescent="0.3"/>
    <row r="430" ht="20.100000000000001" customHeight="1" x14ac:dyDescent="0.3"/>
    <row r="431" ht="20.100000000000001" customHeight="1" x14ac:dyDescent="0.3"/>
    <row r="432" ht="20.100000000000001" customHeight="1" x14ac:dyDescent="0.3"/>
    <row r="433" ht="20.100000000000001" customHeight="1" x14ac:dyDescent="0.3"/>
    <row r="434" ht="20.100000000000001" customHeight="1" x14ac:dyDescent="0.3"/>
    <row r="435" ht="20.100000000000001" customHeight="1" x14ac:dyDescent="0.3"/>
    <row r="436" ht="20.100000000000001" customHeight="1" x14ac:dyDescent="0.3"/>
    <row r="437" ht="20.100000000000001" customHeight="1" x14ac:dyDescent="0.3"/>
    <row r="438" ht="20.100000000000001" customHeight="1" x14ac:dyDescent="0.3"/>
    <row r="439" ht="20.100000000000001" customHeight="1" x14ac:dyDescent="0.3"/>
    <row r="440" ht="20.100000000000001" customHeight="1" x14ac:dyDescent="0.3"/>
    <row r="441" ht="20.100000000000001" customHeight="1" x14ac:dyDescent="0.3"/>
    <row r="442" ht="20.100000000000001" customHeight="1" x14ac:dyDescent="0.3"/>
    <row r="443" ht="20.100000000000001" customHeight="1" x14ac:dyDescent="0.3"/>
    <row r="444" ht="20.100000000000001" customHeight="1" x14ac:dyDescent="0.3"/>
    <row r="445" ht="20.100000000000001" customHeight="1" x14ac:dyDescent="0.3"/>
    <row r="446" ht="20.100000000000001" customHeight="1" x14ac:dyDescent="0.3"/>
    <row r="447" ht="20.100000000000001" customHeight="1" x14ac:dyDescent="0.3"/>
    <row r="448" ht="20.100000000000001" customHeight="1" x14ac:dyDescent="0.3"/>
    <row r="449" ht="20.100000000000001" customHeight="1" x14ac:dyDescent="0.3"/>
    <row r="450" ht="20.100000000000001" customHeight="1" x14ac:dyDescent="0.3"/>
    <row r="451" ht="20.100000000000001" customHeight="1" x14ac:dyDescent="0.3"/>
    <row r="452" ht="20.100000000000001" customHeight="1" x14ac:dyDescent="0.3"/>
    <row r="453" ht="20.100000000000001" customHeight="1" x14ac:dyDescent="0.3"/>
    <row r="454" ht="20.100000000000001" customHeight="1" x14ac:dyDescent="0.3"/>
    <row r="455" ht="20.100000000000001" customHeight="1" x14ac:dyDescent="0.3"/>
    <row r="456" ht="20.100000000000001" customHeight="1" x14ac:dyDescent="0.3"/>
    <row r="457" ht="20.100000000000001" customHeight="1" x14ac:dyDescent="0.3"/>
    <row r="458" ht="20.100000000000001" customHeight="1" x14ac:dyDescent="0.3"/>
    <row r="459" ht="20.100000000000001" customHeight="1" x14ac:dyDescent="0.3"/>
    <row r="460" ht="20.100000000000001" customHeight="1" x14ac:dyDescent="0.3"/>
    <row r="461" ht="20.100000000000001" customHeight="1" x14ac:dyDescent="0.3"/>
    <row r="462" ht="20.100000000000001" customHeight="1" x14ac:dyDescent="0.3"/>
    <row r="463" ht="20.100000000000001" customHeight="1" x14ac:dyDescent="0.3"/>
    <row r="464" ht="20.100000000000001" customHeight="1" x14ac:dyDescent="0.3"/>
    <row r="465" ht="20.100000000000001" customHeight="1" x14ac:dyDescent="0.3"/>
    <row r="466" ht="20.100000000000001" customHeight="1" x14ac:dyDescent="0.3"/>
    <row r="467" ht="20.100000000000001" customHeight="1" x14ac:dyDescent="0.3"/>
    <row r="468" ht="20.100000000000001" customHeight="1" x14ac:dyDescent="0.3"/>
    <row r="469" ht="20.100000000000001" customHeight="1" x14ac:dyDescent="0.3"/>
    <row r="470" ht="20.100000000000001" customHeight="1" x14ac:dyDescent="0.3"/>
    <row r="471" ht="20.100000000000001" customHeight="1" x14ac:dyDescent="0.3"/>
    <row r="472" ht="20.100000000000001" customHeight="1" x14ac:dyDescent="0.3"/>
    <row r="473" ht="20.100000000000001" customHeight="1" x14ac:dyDescent="0.3"/>
    <row r="474" ht="20.100000000000001" customHeight="1" x14ac:dyDescent="0.3"/>
    <row r="475" ht="20.100000000000001" customHeight="1" x14ac:dyDescent="0.3"/>
    <row r="476" ht="20.100000000000001" customHeight="1" x14ac:dyDescent="0.3"/>
    <row r="477" ht="20.100000000000001" customHeight="1" x14ac:dyDescent="0.3"/>
    <row r="478" ht="20.100000000000001" customHeight="1" x14ac:dyDescent="0.3"/>
    <row r="479" ht="20.100000000000001" customHeight="1" x14ac:dyDescent="0.3"/>
    <row r="480" ht="20.100000000000001" customHeight="1" x14ac:dyDescent="0.3"/>
    <row r="481" ht="20.100000000000001" customHeight="1" x14ac:dyDescent="0.3"/>
    <row r="482" ht="20.100000000000001" customHeight="1" x14ac:dyDescent="0.3"/>
    <row r="483" ht="20.100000000000001" customHeight="1" x14ac:dyDescent="0.3"/>
    <row r="484" ht="20.100000000000001" customHeight="1" x14ac:dyDescent="0.3"/>
    <row r="485" ht="20.100000000000001" customHeight="1" x14ac:dyDescent="0.3"/>
    <row r="486" ht="20.100000000000001" customHeight="1" x14ac:dyDescent="0.3"/>
    <row r="487" ht="20.100000000000001" customHeight="1" x14ac:dyDescent="0.3"/>
    <row r="488" ht="20.100000000000001" customHeight="1" x14ac:dyDescent="0.3"/>
    <row r="489" ht="20.100000000000001" customHeight="1" x14ac:dyDescent="0.3"/>
    <row r="490" ht="20.100000000000001" customHeight="1" x14ac:dyDescent="0.3"/>
    <row r="491" ht="20.100000000000001" customHeight="1" x14ac:dyDescent="0.3"/>
    <row r="492" ht="20.100000000000001" customHeight="1" x14ac:dyDescent="0.3"/>
    <row r="493" ht="20.100000000000001" customHeight="1" x14ac:dyDescent="0.3"/>
    <row r="494" ht="20.100000000000001" customHeight="1" x14ac:dyDescent="0.3"/>
    <row r="495" ht="20.100000000000001" customHeight="1" x14ac:dyDescent="0.3"/>
    <row r="496" ht="20.100000000000001" customHeight="1" x14ac:dyDescent="0.3"/>
    <row r="497" ht="20.100000000000001" customHeight="1" x14ac:dyDescent="0.3"/>
    <row r="498" ht="20.100000000000001" customHeight="1" x14ac:dyDescent="0.3"/>
    <row r="499" ht="20.100000000000001" customHeight="1" x14ac:dyDescent="0.3"/>
    <row r="500" ht="20.100000000000001" customHeight="1" x14ac:dyDescent="0.3"/>
    <row r="501" ht="20.100000000000001" customHeight="1" x14ac:dyDescent="0.3"/>
    <row r="502" ht="20.100000000000001" customHeight="1" x14ac:dyDescent="0.3"/>
    <row r="503" ht="20.100000000000001" customHeight="1" x14ac:dyDescent="0.3"/>
    <row r="504" ht="20.100000000000001" customHeight="1" x14ac:dyDescent="0.3"/>
    <row r="505" ht="20.100000000000001" customHeight="1" x14ac:dyDescent="0.3"/>
    <row r="506" ht="20.100000000000001" customHeight="1" x14ac:dyDescent="0.3"/>
    <row r="507" ht="20.100000000000001" customHeight="1" x14ac:dyDescent="0.3"/>
    <row r="508" ht="20.100000000000001" customHeight="1" x14ac:dyDescent="0.3"/>
    <row r="509" ht="20.100000000000001" customHeight="1" x14ac:dyDescent="0.3"/>
    <row r="510" ht="20.100000000000001" customHeight="1" x14ac:dyDescent="0.3"/>
    <row r="511" ht="20.100000000000001" customHeight="1" x14ac:dyDescent="0.3"/>
    <row r="512" ht="20.100000000000001" customHeight="1" x14ac:dyDescent="0.3"/>
    <row r="513" ht="20.100000000000001" customHeight="1" x14ac:dyDescent="0.3"/>
    <row r="514" ht="20.100000000000001" customHeight="1" x14ac:dyDescent="0.3"/>
    <row r="515" ht="20.100000000000001" customHeight="1" x14ac:dyDescent="0.3"/>
    <row r="516" ht="20.100000000000001" customHeight="1" x14ac:dyDescent="0.3"/>
    <row r="517" ht="20.100000000000001" customHeight="1" x14ac:dyDescent="0.3"/>
    <row r="518" ht="20.100000000000001" customHeight="1" x14ac:dyDescent="0.3"/>
    <row r="519" ht="20.100000000000001" customHeight="1" x14ac:dyDescent="0.3"/>
    <row r="520" ht="20.100000000000001" customHeight="1" x14ac:dyDescent="0.3"/>
    <row r="521" ht="20.100000000000001" customHeight="1" x14ac:dyDescent="0.3"/>
    <row r="522" ht="20.100000000000001" customHeight="1" x14ac:dyDescent="0.3"/>
    <row r="523" ht="20.100000000000001" customHeight="1" x14ac:dyDescent="0.3"/>
    <row r="524" ht="20.100000000000001" customHeight="1" x14ac:dyDescent="0.3"/>
    <row r="525" ht="20.100000000000001" customHeight="1" x14ac:dyDescent="0.3"/>
    <row r="526" ht="20.100000000000001" customHeight="1" x14ac:dyDescent="0.3"/>
    <row r="527" ht="20.100000000000001" customHeight="1" x14ac:dyDescent="0.3"/>
    <row r="528" ht="20.100000000000001" customHeight="1" x14ac:dyDescent="0.3"/>
    <row r="529" ht="20.100000000000001" customHeight="1" x14ac:dyDescent="0.3"/>
    <row r="530" ht="20.100000000000001" customHeight="1" x14ac:dyDescent="0.3"/>
    <row r="531" ht="20.100000000000001" customHeight="1" x14ac:dyDescent="0.3"/>
    <row r="532" ht="20.100000000000001" customHeight="1" x14ac:dyDescent="0.3"/>
    <row r="533" ht="20.100000000000001" customHeight="1" x14ac:dyDescent="0.3"/>
    <row r="534" ht="20.100000000000001" customHeight="1" x14ac:dyDescent="0.3"/>
    <row r="535" ht="20.100000000000001" customHeight="1" x14ac:dyDescent="0.3"/>
    <row r="536" ht="20.100000000000001" customHeight="1" x14ac:dyDescent="0.3"/>
    <row r="537" ht="20.100000000000001" customHeight="1" x14ac:dyDescent="0.3"/>
    <row r="538" ht="20.100000000000001" customHeight="1" x14ac:dyDescent="0.3"/>
    <row r="539" ht="20.100000000000001" customHeight="1" x14ac:dyDescent="0.3"/>
    <row r="540" ht="20.100000000000001" customHeight="1" x14ac:dyDescent="0.3"/>
    <row r="541" ht="20.100000000000001" customHeight="1" x14ac:dyDescent="0.3"/>
    <row r="542" ht="20.100000000000001" customHeight="1" x14ac:dyDescent="0.3"/>
    <row r="543" ht="20.100000000000001" customHeight="1" x14ac:dyDescent="0.3"/>
    <row r="544" ht="20.100000000000001" customHeight="1" x14ac:dyDescent="0.3"/>
    <row r="545" ht="20.100000000000001" customHeight="1" x14ac:dyDescent="0.3"/>
    <row r="546" ht="20.100000000000001" customHeight="1" x14ac:dyDescent="0.3"/>
    <row r="547" ht="20.100000000000001" customHeight="1" x14ac:dyDescent="0.3"/>
    <row r="548" ht="20.100000000000001" customHeight="1" x14ac:dyDescent="0.3"/>
    <row r="549" ht="20.100000000000001" customHeight="1" x14ac:dyDescent="0.3"/>
    <row r="550" ht="20.100000000000001" customHeight="1" x14ac:dyDescent="0.3"/>
    <row r="551" ht="20.100000000000001" customHeight="1" x14ac:dyDescent="0.3"/>
    <row r="552" ht="20.100000000000001" customHeight="1" x14ac:dyDescent="0.3"/>
    <row r="553" ht="20.100000000000001" customHeight="1" x14ac:dyDescent="0.3"/>
    <row r="554" ht="20.100000000000001" customHeight="1" x14ac:dyDescent="0.3"/>
    <row r="555" ht="20.100000000000001" customHeight="1" x14ac:dyDescent="0.3"/>
    <row r="556" ht="20.100000000000001" customHeight="1" x14ac:dyDescent="0.3"/>
    <row r="557" ht="20.100000000000001" customHeight="1" x14ac:dyDescent="0.3"/>
    <row r="558" ht="20.100000000000001" customHeight="1" x14ac:dyDescent="0.3"/>
    <row r="559" ht="20.100000000000001" customHeight="1" x14ac:dyDescent="0.3"/>
    <row r="560" ht="20.100000000000001" customHeight="1" x14ac:dyDescent="0.3"/>
    <row r="561" ht="20.100000000000001" customHeight="1" x14ac:dyDescent="0.3"/>
    <row r="562" ht="20.100000000000001" customHeight="1" x14ac:dyDescent="0.3"/>
    <row r="563" ht="20.100000000000001" customHeight="1" x14ac:dyDescent="0.3"/>
    <row r="564" ht="20.100000000000001" customHeight="1" x14ac:dyDescent="0.3"/>
    <row r="565" ht="20.100000000000001" customHeight="1" x14ac:dyDescent="0.3"/>
    <row r="566" ht="20.100000000000001" customHeight="1" x14ac:dyDescent="0.3"/>
    <row r="567" ht="20.100000000000001" customHeight="1" x14ac:dyDescent="0.3"/>
    <row r="568" ht="20.100000000000001" customHeight="1" x14ac:dyDescent="0.3"/>
    <row r="569" ht="20.100000000000001" customHeight="1" x14ac:dyDescent="0.3"/>
    <row r="570" ht="20.100000000000001" customHeight="1" x14ac:dyDescent="0.3"/>
    <row r="571" ht="20.100000000000001" customHeight="1" x14ac:dyDescent="0.3"/>
    <row r="572" ht="20.100000000000001" customHeight="1" x14ac:dyDescent="0.3"/>
    <row r="573" ht="20.100000000000001" customHeight="1" x14ac:dyDescent="0.3"/>
    <row r="574" ht="20.100000000000001" customHeight="1" x14ac:dyDescent="0.3"/>
    <row r="575" ht="20.100000000000001" customHeight="1" x14ac:dyDescent="0.3"/>
    <row r="576" ht="20.100000000000001" customHeight="1" x14ac:dyDescent="0.3"/>
    <row r="577" ht="20.100000000000001" customHeight="1" x14ac:dyDescent="0.3"/>
    <row r="578" ht="20.100000000000001" customHeight="1" x14ac:dyDescent="0.3"/>
    <row r="579" ht="20.100000000000001" customHeight="1" x14ac:dyDescent="0.3"/>
    <row r="580" ht="20.100000000000001" customHeight="1" x14ac:dyDescent="0.3"/>
    <row r="581" ht="20.100000000000001" customHeight="1" x14ac:dyDescent="0.3"/>
    <row r="582" ht="20.100000000000001" customHeight="1" x14ac:dyDescent="0.3"/>
    <row r="583" ht="20.100000000000001" customHeight="1" x14ac:dyDescent="0.3"/>
    <row r="584" ht="20.100000000000001" customHeight="1" x14ac:dyDescent="0.3"/>
    <row r="585" ht="20.100000000000001" customHeight="1" x14ac:dyDescent="0.3"/>
    <row r="586" ht="20.100000000000001" customHeight="1" x14ac:dyDescent="0.3"/>
    <row r="587" ht="20.100000000000001" customHeight="1" x14ac:dyDescent="0.3"/>
    <row r="588" ht="20.100000000000001" customHeight="1" x14ac:dyDescent="0.3"/>
    <row r="589" ht="20.100000000000001" customHeight="1" x14ac:dyDescent="0.3"/>
    <row r="590" ht="20.100000000000001" customHeight="1" x14ac:dyDescent="0.3"/>
    <row r="591" ht="20.100000000000001" customHeight="1" x14ac:dyDescent="0.3"/>
    <row r="592" ht="20.100000000000001" customHeight="1" x14ac:dyDescent="0.3"/>
    <row r="593" ht="20.100000000000001" customHeight="1" x14ac:dyDescent="0.3"/>
    <row r="594" ht="20.100000000000001" customHeight="1" x14ac:dyDescent="0.3"/>
    <row r="595" ht="20.100000000000001" customHeight="1" x14ac:dyDescent="0.3"/>
    <row r="596" ht="20.100000000000001" customHeight="1" x14ac:dyDescent="0.3"/>
    <row r="597" ht="20.100000000000001" customHeight="1" x14ac:dyDescent="0.3"/>
    <row r="598" ht="20.100000000000001" customHeight="1" x14ac:dyDescent="0.3"/>
    <row r="599" ht="20.100000000000001" customHeight="1" x14ac:dyDescent="0.3"/>
    <row r="600" ht="20.100000000000001" customHeight="1" x14ac:dyDescent="0.3"/>
    <row r="601" ht="20.100000000000001" customHeight="1" x14ac:dyDescent="0.3"/>
    <row r="602" ht="20.100000000000001" customHeight="1" x14ac:dyDescent="0.3"/>
    <row r="603" ht="20.100000000000001" customHeight="1" x14ac:dyDescent="0.3"/>
    <row r="604" ht="20.100000000000001" customHeight="1" x14ac:dyDescent="0.3"/>
    <row r="605" ht="20.100000000000001" customHeight="1" x14ac:dyDescent="0.3"/>
    <row r="606" ht="20.100000000000001" customHeight="1" x14ac:dyDescent="0.3"/>
    <row r="607" ht="20.100000000000001" customHeight="1" x14ac:dyDescent="0.3"/>
    <row r="608" ht="20.100000000000001" customHeight="1" x14ac:dyDescent="0.3"/>
    <row r="609" ht="20.100000000000001" customHeight="1" x14ac:dyDescent="0.3"/>
    <row r="610" ht="20.100000000000001" customHeight="1" x14ac:dyDescent="0.3"/>
    <row r="611" ht="20.100000000000001" customHeight="1" x14ac:dyDescent="0.3"/>
    <row r="612" ht="20.100000000000001" customHeight="1" x14ac:dyDescent="0.3"/>
    <row r="613" ht="20.100000000000001" customHeight="1" x14ac:dyDescent="0.3"/>
    <row r="614" ht="20.100000000000001" customHeight="1" x14ac:dyDescent="0.3"/>
    <row r="615" ht="20.100000000000001" customHeight="1" x14ac:dyDescent="0.3"/>
    <row r="616" ht="20.100000000000001" customHeight="1" x14ac:dyDescent="0.3"/>
    <row r="617" ht="20.100000000000001" customHeight="1" x14ac:dyDescent="0.3"/>
    <row r="618" ht="20.100000000000001" customHeight="1" x14ac:dyDescent="0.3"/>
    <row r="619" ht="20.100000000000001" customHeight="1" x14ac:dyDescent="0.3"/>
    <row r="620" ht="20.100000000000001" customHeight="1" x14ac:dyDescent="0.3"/>
    <row r="621" ht="20.100000000000001" customHeight="1" x14ac:dyDescent="0.3"/>
    <row r="622" ht="20.100000000000001" customHeight="1" x14ac:dyDescent="0.3"/>
    <row r="623" ht="20.100000000000001" customHeight="1" x14ac:dyDescent="0.3"/>
    <row r="624" ht="20.100000000000001" customHeight="1" x14ac:dyDescent="0.3"/>
    <row r="625" ht="20.100000000000001" customHeight="1" x14ac:dyDescent="0.3"/>
    <row r="626" ht="20.100000000000001" customHeight="1" x14ac:dyDescent="0.3"/>
    <row r="627" ht="20.100000000000001" customHeight="1" x14ac:dyDescent="0.3"/>
    <row r="628" ht="20.100000000000001" customHeight="1" x14ac:dyDescent="0.3"/>
    <row r="629" ht="20.100000000000001" customHeight="1" x14ac:dyDescent="0.3"/>
    <row r="630" ht="20.100000000000001" customHeight="1" x14ac:dyDescent="0.3"/>
    <row r="631" ht="20.100000000000001" customHeight="1" x14ac:dyDescent="0.3"/>
    <row r="632" ht="20.100000000000001" customHeight="1" x14ac:dyDescent="0.3"/>
    <row r="633" ht="20.100000000000001" customHeight="1" x14ac:dyDescent="0.3"/>
    <row r="634" ht="20.100000000000001" customHeight="1" x14ac:dyDescent="0.3"/>
    <row r="635" ht="20.100000000000001" customHeight="1" x14ac:dyDescent="0.3"/>
    <row r="636" ht="20.100000000000001" customHeight="1" x14ac:dyDescent="0.3"/>
    <row r="637" ht="20.100000000000001" customHeight="1" x14ac:dyDescent="0.3"/>
    <row r="638" ht="20.100000000000001" customHeight="1" x14ac:dyDescent="0.3"/>
    <row r="639" ht="20.100000000000001" customHeight="1" x14ac:dyDescent="0.3"/>
    <row r="640" ht="20.100000000000001" customHeight="1" x14ac:dyDescent="0.3"/>
    <row r="641" ht="20.100000000000001" customHeight="1" x14ac:dyDescent="0.3"/>
    <row r="642" ht="20.100000000000001" customHeight="1" x14ac:dyDescent="0.3"/>
    <row r="643" ht="20.100000000000001" customHeight="1" x14ac:dyDescent="0.3"/>
    <row r="644" ht="20.100000000000001" customHeight="1" x14ac:dyDescent="0.3"/>
    <row r="645" ht="20.100000000000001" customHeight="1" x14ac:dyDescent="0.3"/>
    <row r="646" ht="20.100000000000001" customHeight="1" x14ac:dyDescent="0.3"/>
    <row r="647" ht="20.100000000000001" customHeight="1" x14ac:dyDescent="0.3"/>
    <row r="648" ht="20.100000000000001" customHeight="1" x14ac:dyDescent="0.3"/>
    <row r="649" ht="20.100000000000001" customHeight="1" x14ac:dyDescent="0.3"/>
    <row r="650" ht="20.100000000000001" customHeight="1" x14ac:dyDescent="0.3"/>
    <row r="651" ht="20.100000000000001" customHeight="1" x14ac:dyDescent="0.3"/>
    <row r="652" ht="20.100000000000001" customHeight="1" x14ac:dyDescent="0.3"/>
    <row r="653" ht="20.100000000000001" customHeight="1" x14ac:dyDescent="0.3"/>
    <row r="654" ht="20.100000000000001" customHeight="1" x14ac:dyDescent="0.3"/>
    <row r="655" ht="20.100000000000001" customHeight="1" x14ac:dyDescent="0.3"/>
    <row r="656" ht="20.100000000000001" customHeight="1" x14ac:dyDescent="0.3"/>
    <row r="657" ht="20.100000000000001" customHeight="1" x14ac:dyDescent="0.3"/>
    <row r="658" ht="20.100000000000001" customHeight="1" x14ac:dyDescent="0.3"/>
    <row r="659" ht="20.100000000000001" customHeight="1" x14ac:dyDescent="0.3"/>
    <row r="660" ht="20.100000000000001" customHeight="1" x14ac:dyDescent="0.3"/>
    <row r="661" ht="20.100000000000001" customHeight="1" x14ac:dyDescent="0.3"/>
    <row r="662" ht="20.100000000000001" customHeight="1" x14ac:dyDescent="0.3"/>
    <row r="663" ht="20.100000000000001" customHeight="1" x14ac:dyDescent="0.3"/>
    <row r="664" ht="20.100000000000001" customHeight="1" x14ac:dyDescent="0.3"/>
    <row r="665" ht="20.100000000000001" customHeight="1" x14ac:dyDescent="0.3"/>
    <row r="666" ht="20.100000000000001" customHeight="1" x14ac:dyDescent="0.3"/>
    <row r="667" ht="20.100000000000001" customHeight="1" x14ac:dyDescent="0.3"/>
    <row r="668" ht="20.100000000000001" customHeight="1" x14ac:dyDescent="0.3"/>
    <row r="669" ht="20.100000000000001" customHeight="1" x14ac:dyDescent="0.3"/>
    <row r="670" ht="20.100000000000001" customHeight="1" x14ac:dyDescent="0.3"/>
    <row r="671" ht="20.100000000000001" customHeight="1" x14ac:dyDescent="0.3"/>
    <row r="672" ht="20.100000000000001" customHeight="1" x14ac:dyDescent="0.3"/>
    <row r="673" ht="20.100000000000001" customHeight="1" x14ac:dyDescent="0.3"/>
    <row r="674" ht="20.100000000000001" customHeight="1" x14ac:dyDescent="0.3"/>
    <row r="675" ht="20.100000000000001" customHeight="1" x14ac:dyDescent="0.3"/>
    <row r="676" ht="20.100000000000001" customHeight="1" x14ac:dyDescent="0.3"/>
    <row r="677" ht="20.100000000000001" customHeight="1" x14ac:dyDescent="0.3"/>
    <row r="678" ht="20.100000000000001" customHeight="1" x14ac:dyDescent="0.3"/>
    <row r="679" ht="20.100000000000001" customHeight="1" x14ac:dyDescent="0.3"/>
    <row r="680" ht="20.100000000000001" customHeight="1" x14ac:dyDescent="0.3"/>
    <row r="681" ht="20.100000000000001" customHeight="1" x14ac:dyDescent="0.3"/>
    <row r="682" ht="20.100000000000001" customHeight="1" x14ac:dyDescent="0.3"/>
    <row r="683" ht="20.100000000000001" customHeight="1" x14ac:dyDescent="0.3"/>
    <row r="684" ht="20.100000000000001" customHeight="1" x14ac:dyDescent="0.3"/>
    <row r="685" ht="20.100000000000001" customHeight="1" x14ac:dyDescent="0.3"/>
    <row r="686" ht="20.100000000000001" customHeight="1" x14ac:dyDescent="0.3"/>
    <row r="687" ht="20.100000000000001" customHeight="1" x14ac:dyDescent="0.3"/>
    <row r="688" ht="20.100000000000001" customHeight="1" x14ac:dyDescent="0.3"/>
    <row r="689" ht="20.100000000000001" customHeight="1" x14ac:dyDescent="0.3"/>
    <row r="690" ht="20.100000000000001" customHeight="1" x14ac:dyDescent="0.3"/>
    <row r="691" ht="20.100000000000001" customHeight="1" x14ac:dyDescent="0.3"/>
    <row r="692" ht="20.100000000000001" customHeight="1" x14ac:dyDescent="0.3"/>
    <row r="693" ht="20.100000000000001" customHeight="1" x14ac:dyDescent="0.3"/>
    <row r="694" ht="20.100000000000001" customHeight="1" x14ac:dyDescent="0.3"/>
    <row r="695" ht="20.100000000000001" customHeight="1" x14ac:dyDescent="0.3"/>
    <row r="696" ht="20.100000000000001" customHeight="1" x14ac:dyDescent="0.3"/>
    <row r="697" ht="20.100000000000001" customHeight="1" x14ac:dyDescent="0.3"/>
    <row r="698" ht="20.100000000000001" customHeight="1" x14ac:dyDescent="0.3"/>
    <row r="699" ht="20.100000000000001" customHeight="1" x14ac:dyDescent="0.3"/>
    <row r="700" ht="20.100000000000001" customHeight="1" x14ac:dyDescent="0.3"/>
    <row r="701" ht="20.100000000000001" customHeight="1" x14ac:dyDescent="0.3"/>
    <row r="702" ht="20.100000000000001" customHeight="1" x14ac:dyDescent="0.3"/>
    <row r="703" ht="20.100000000000001" customHeight="1" x14ac:dyDescent="0.3"/>
    <row r="704" ht="20.100000000000001" customHeight="1" x14ac:dyDescent="0.3"/>
    <row r="705" ht="20.100000000000001" customHeight="1" x14ac:dyDescent="0.3"/>
    <row r="706" ht="20.100000000000001" customHeight="1" x14ac:dyDescent="0.3"/>
    <row r="707" ht="20.100000000000001" customHeight="1" x14ac:dyDescent="0.3"/>
    <row r="708" ht="20.100000000000001" customHeight="1" x14ac:dyDescent="0.3"/>
    <row r="709" ht="20.100000000000001" customHeight="1" x14ac:dyDescent="0.3"/>
    <row r="710" ht="20.100000000000001" customHeight="1" x14ac:dyDescent="0.3"/>
    <row r="711" ht="20.100000000000001" customHeight="1" x14ac:dyDescent="0.3"/>
    <row r="712" ht="20.100000000000001" customHeight="1" x14ac:dyDescent="0.3"/>
    <row r="713" ht="20.100000000000001" customHeight="1" x14ac:dyDescent="0.3"/>
    <row r="714" ht="20.100000000000001" customHeight="1" x14ac:dyDescent="0.3"/>
    <row r="715" ht="20.100000000000001" customHeight="1" x14ac:dyDescent="0.3"/>
    <row r="716" ht="20.100000000000001" customHeight="1" x14ac:dyDescent="0.3"/>
    <row r="717" ht="20.100000000000001" customHeight="1" x14ac:dyDescent="0.3"/>
    <row r="718" ht="20.100000000000001" customHeight="1" x14ac:dyDescent="0.3"/>
    <row r="719" ht="20.100000000000001" customHeight="1" x14ac:dyDescent="0.3"/>
    <row r="720" ht="20.100000000000001" customHeight="1" x14ac:dyDescent="0.3"/>
    <row r="721" ht="20.100000000000001" customHeight="1" x14ac:dyDescent="0.3"/>
    <row r="722" ht="20.100000000000001" customHeight="1" x14ac:dyDescent="0.3"/>
    <row r="723" ht="20.100000000000001" customHeight="1" x14ac:dyDescent="0.3"/>
    <row r="724" ht="20.100000000000001" customHeight="1" x14ac:dyDescent="0.3"/>
    <row r="725" ht="20.100000000000001" customHeight="1" x14ac:dyDescent="0.3"/>
    <row r="726" ht="20.100000000000001" customHeight="1" x14ac:dyDescent="0.3"/>
    <row r="727" ht="20.100000000000001" customHeight="1" x14ac:dyDescent="0.3"/>
    <row r="728" ht="20.100000000000001" customHeight="1" x14ac:dyDescent="0.3"/>
    <row r="729" ht="20.100000000000001" customHeight="1" x14ac:dyDescent="0.3"/>
    <row r="730" ht="20.100000000000001" customHeight="1" x14ac:dyDescent="0.3"/>
    <row r="731" ht="20.100000000000001" customHeight="1" x14ac:dyDescent="0.3"/>
    <row r="732" ht="20.100000000000001" customHeight="1" x14ac:dyDescent="0.3"/>
    <row r="733" ht="20.100000000000001" customHeight="1" x14ac:dyDescent="0.3"/>
    <row r="734" ht="20.100000000000001" customHeight="1" x14ac:dyDescent="0.3"/>
    <row r="735" ht="20.100000000000001" customHeight="1" x14ac:dyDescent="0.3"/>
    <row r="736" ht="20.100000000000001" customHeight="1" x14ac:dyDescent="0.3"/>
    <row r="737" ht="20.100000000000001" customHeight="1" x14ac:dyDescent="0.3"/>
    <row r="738" ht="20.100000000000001" customHeight="1" x14ac:dyDescent="0.3"/>
    <row r="739" ht="20.100000000000001" customHeight="1" x14ac:dyDescent="0.3"/>
    <row r="740" ht="20.100000000000001" customHeight="1" x14ac:dyDescent="0.3"/>
    <row r="741" ht="20.100000000000001" customHeight="1" x14ac:dyDescent="0.3"/>
    <row r="742" ht="20.100000000000001" customHeight="1" x14ac:dyDescent="0.3"/>
    <row r="743" ht="20.100000000000001" customHeight="1" x14ac:dyDescent="0.3"/>
    <row r="744" ht="20.100000000000001" customHeight="1" x14ac:dyDescent="0.3"/>
    <row r="745" ht="20.100000000000001" customHeight="1" x14ac:dyDescent="0.3"/>
    <row r="746" ht="20.100000000000001" customHeight="1" x14ac:dyDescent="0.3"/>
    <row r="747" ht="20.100000000000001" customHeight="1" x14ac:dyDescent="0.3"/>
    <row r="748" ht="20.100000000000001" customHeight="1" x14ac:dyDescent="0.3"/>
    <row r="749" ht="20.100000000000001" customHeight="1" x14ac:dyDescent="0.3"/>
    <row r="750" ht="20.100000000000001" customHeight="1" x14ac:dyDescent="0.3"/>
    <row r="751" ht="20.100000000000001" customHeight="1" x14ac:dyDescent="0.3"/>
    <row r="752" ht="20.100000000000001" customHeight="1" x14ac:dyDescent="0.3"/>
    <row r="753" ht="20.100000000000001" customHeight="1" x14ac:dyDescent="0.3"/>
    <row r="754" ht="20.100000000000001" customHeight="1" x14ac:dyDescent="0.3"/>
    <row r="755" ht="20.100000000000001" customHeight="1" x14ac:dyDescent="0.3"/>
    <row r="756" ht="20.100000000000001" customHeight="1" x14ac:dyDescent="0.3"/>
    <row r="757" ht="20.100000000000001" customHeight="1" x14ac:dyDescent="0.3"/>
    <row r="758" ht="20.100000000000001" customHeight="1" x14ac:dyDescent="0.3"/>
    <row r="759" ht="20.100000000000001" customHeight="1" x14ac:dyDescent="0.3"/>
    <row r="760" ht="20.100000000000001" customHeight="1" x14ac:dyDescent="0.3"/>
    <row r="761" ht="20.100000000000001" customHeight="1" x14ac:dyDescent="0.3"/>
    <row r="762" ht="20.100000000000001" customHeight="1" x14ac:dyDescent="0.3"/>
    <row r="763" ht="20.100000000000001" customHeight="1" x14ac:dyDescent="0.3"/>
    <row r="764" ht="20.100000000000001" customHeight="1" x14ac:dyDescent="0.3"/>
    <row r="765" ht="20.100000000000001" customHeight="1" x14ac:dyDescent="0.3"/>
    <row r="766" ht="20.100000000000001" customHeight="1" x14ac:dyDescent="0.3"/>
    <row r="767" ht="20.100000000000001" customHeight="1" x14ac:dyDescent="0.3"/>
    <row r="768" ht="20.100000000000001" customHeight="1" x14ac:dyDescent="0.3"/>
    <row r="769" ht="20.100000000000001" customHeight="1" x14ac:dyDescent="0.3"/>
    <row r="770" ht="20.100000000000001" customHeight="1" x14ac:dyDescent="0.3"/>
    <row r="771" ht="20.100000000000001" customHeight="1" x14ac:dyDescent="0.3"/>
    <row r="772" ht="20.100000000000001" customHeight="1" x14ac:dyDescent="0.3"/>
    <row r="773" ht="20.100000000000001" customHeight="1" x14ac:dyDescent="0.3"/>
    <row r="774" ht="20.100000000000001" customHeight="1" x14ac:dyDescent="0.3"/>
    <row r="775" ht="20.100000000000001" customHeight="1" x14ac:dyDescent="0.3"/>
    <row r="776" ht="20.100000000000001" customHeight="1" x14ac:dyDescent="0.3"/>
    <row r="777" ht="20.100000000000001" customHeight="1" x14ac:dyDescent="0.3"/>
    <row r="778" ht="20.100000000000001" customHeight="1" x14ac:dyDescent="0.3"/>
    <row r="779" ht="20.100000000000001" customHeight="1" x14ac:dyDescent="0.3"/>
    <row r="780" ht="20.100000000000001" customHeight="1" x14ac:dyDescent="0.3"/>
    <row r="781" ht="20.100000000000001" customHeight="1" x14ac:dyDescent="0.3"/>
    <row r="782" ht="20.100000000000001" customHeight="1" x14ac:dyDescent="0.3"/>
    <row r="783" ht="20.100000000000001" customHeight="1" x14ac:dyDescent="0.3"/>
    <row r="784" ht="20.100000000000001" customHeight="1" x14ac:dyDescent="0.3"/>
    <row r="785" ht="20.100000000000001" customHeight="1" x14ac:dyDescent="0.3"/>
    <row r="786" ht="20.100000000000001" customHeight="1" x14ac:dyDescent="0.3"/>
    <row r="787" ht="20.100000000000001" customHeight="1" x14ac:dyDescent="0.3"/>
    <row r="788" ht="20.100000000000001" customHeight="1" x14ac:dyDescent="0.3"/>
    <row r="789" ht="20.100000000000001" customHeight="1" x14ac:dyDescent="0.3"/>
    <row r="790" ht="20.100000000000001" customHeight="1" x14ac:dyDescent="0.3"/>
    <row r="791" ht="20.100000000000001" customHeight="1" x14ac:dyDescent="0.3"/>
    <row r="792" ht="20.100000000000001" customHeight="1" x14ac:dyDescent="0.3"/>
    <row r="793" ht="20.100000000000001" customHeight="1" x14ac:dyDescent="0.3"/>
    <row r="794" ht="20.100000000000001" customHeight="1" x14ac:dyDescent="0.3"/>
    <row r="795" ht="20.100000000000001" customHeight="1" x14ac:dyDescent="0.3"/>
    <row r="796" ht="20.100000000000001" customHeight="1" x14ac:dyDescent="0.3"/>
    <row r="797" ht="20.100000000000001" customHeight="1" x14ac:dyDescent="0.3"/>
    <row r="798" ht="20.100000000000001" customHeight="1" x14ac:dyDescent="0.3"/>
    <row r="799" ht="20.100000000000001" customHeight="1" x14ac:dyDescent="0.3"/>
    <row r="800" ht="20.100000000000001" customHeight="1" x14ac:dyDescent="0.3"/>
    <row r="801" ht="20.100000000000001" customHeight="1" x14ac:dyDescent="0.3"/>
    <row r="802" ht="20.100000000000001" customHeight="1" x14ac:dyDescent="0.3"/>
    <row r="803" ht="20.100000000000001" customHeight="1" x14ac:dyDescent="0.3"/>
    <row r="804" ht="20.100000000000001" customHeight="1" x14ac:dyDescent="0.3"/>
    <row r="805" ht="20.100000000000001" customHeight="1" x14ac:dyDescent="0.3"/>
    <row r="806" ht="20.100000000000001" customHeight="1" x14ac:dyDescent="0.3"/>
    <row r="807" ht="20.100000000000001" customHeight="1" x14ac:dyDescent="0.3"/>
    <row r="808" ht="20.100000000000001" customHeight="1" x14ac:dyDescent="0.3"/>
    <row r="809" ht="20.100000000000001" customHeight="1" x14ac:dyDescent="0.3"/>
    <row r="810" ht="20.100000000000001" customHeight="1" x14ac:dyDescent="0.3"/>
    <row r="811" ht="20.100000000000001" customHeight="1" x14ac:dyDescent="0.3"/>
    <row r="812" ht="20.100000000000001" customHeight="1" x14ac:dyDescent="0.3"/>
    <row r="813" ht="20.100000000000001" customHeight="1" x14ac:dyDescent="0.3"/>
    <row r="814" ht="20.100000000000001" customHeight="1" x14ac:dyDescent="0.3"/>
    <row r="815" ht="20.100000000000001" customHeight="1" x14ac:dyDescent="0.3"/>
    <row r="816" ht="20.100000000000001" customHeight="1" x14ac:dyDescent="0.3"/>
    <row r="817" ht="20.100000000000001" customHeight="1" x14ac:dyDescent="0.3"/>
    <row r="818" ht="20.100000000000001" customHeight="1" x14ac:dyDescent="0.3"/>
    <row r="819" ht="20.100000000000001" customHeight="1" x14ac:dyDescent="0.3"/>
    <row r="820" ht="20.100000000000001" customHeight="1" x14ac:dyDescent="0.3"/>
    <row r="821" ht="20.100000000000001" customHeight="1" x14ac:dyDescent="0.3"/>
    <row r="822" ht="20.100000000000001" customHeight="1" x14ac:dyDescent="0.3"/>
    <row r="823" ht="20.100000000000001" customHeight="1" x14ac:dyDescent="0.3"/>
    <row r="824" ht="20.100000000000001" customHeight="1" x14ac:dyDescent="0.3"/>
    <row r="825" ht="20.100000000000001" customHeight="1" x14ac:dyDescent="0.3"/>
    <row r="826" ht="20.100000000000001" customHeight="1" x14ac:dyDescent="0.3"/>
    <row r="827" ht="20.100000000000001" customHeight="1" x14ac:dyDescent="0.3"/>
    <row r="828" ht="20.100000000000001" customHeight="1" x14ac:dyDescent="0.3"/>
    <row r="829" ht="20.100000000000001" customHeight="1" x14ac:dyDescent="0.3"/>
    <row r="830" ht="20.100000000000001" customHeight="1" x14ac:dyDescent="0.3"/>
    <row r="831" ht="20.100000000000001" customHeight="1" x14ac:dyDescent="0.3"/>
    <row r="832" ht="20.100000000000001" customHeight="1" x14ac:dyDescent="0.3"/>
    <row r="833" ht="20.100000000000001" customHeight="1" x14ac:dyDescent="0.3"/>
    <row r="834" ht="20.100000000000001" customHeight="1" x14ac:dyDescent="0.3"/>
    <row r="835" ht="20.100000000000001" customHeight="1" x14ac:dyDescent="0.3"/>
    <row r="836" ht="20.100000000000001" customHeight="1" x14ac:dyDescent="0.3"/>
    <row r="837" ht="20.100000000000001" customHeight="1" x14ac:dyDescent="0.3"/>
    <row r="838" ht="20.100000000000001" customHeight="1" x14ac:dyDescent="0.3"/>
    <row r="839" ht="20.100000000000001" customHeight="1" x14ac:dyDescent="0.3"/>
    <row r="840" ht="20.100000000000001" customHeight="1" x14ac:dyDescent="0.3"/>
    <row r="841" ht="20.100000000000001" customHeight="1" x14ac:dyDescent="0.3"/>
    <row r="842" ht="20.100000000000001" customHeight="1" x14ac:dyDescent="0.3"/>
    <row r="843" ht="20.100000000000001" customHeight="1" x14ac:dyDescent="0.3"/>
    <row r="844" ht="20.100000000000001" customHeight="1" x14ac:dyDescent="0.3"/>
    <row r="845" ht="20.100000000000001" customHeight="1" x14ac:dyDescent="0.3"/>
    <row r="846" ht="20.100000000000001" customHeight="1" x14ac:dyDescent="0.3"/>
    <row r="847" ht="20.100000000000001" customHeight="1" x14ac:dyDescent="0.3"/>
    <row r="848" ht="20.100000000000001" customHeight="1" x14ac:dyDescent="0.3"/>
    <row r="849" ht="20.100000000000001" customHeight="1" x14ac:dyDescent="0.3"/>
    <row r="850" ht="20.100000000000001" customHeight="1" x14ac:dyDescent="0.3"/>
    <row r="851" ht="20.100000000000001" customHeight="1" x14ac:dyDescent="0.3"/>
    <row r="852" ht="20.100000000000001" customHeight="1" x14ac:dyDescent="0.3"/>
    <row r="853" ht="20.100000000000001" customHeight="1" x14ac:dyDescent="0.3"/>
    <row r="854" ht="20.100000000000001" customHeight="1" x14ac:dyDescent="0.3"/>
    <row r="855" ht="20.100000000000001" customHeight="1" x14ac:dyDescent="0.3"/>
    <row r="856" ht="20.100000000000001" customHeight="1" x14ac:dyDescent="0.3"/>
    <row r="857" ht="20.100000000000001" customHeight="1" x14ac:dyDescent="0.3"/>
    <row r="858" ht="20.100000000000001" customHeight="1" x14ac:dyDescent="0.3"/>
    <row r="859" ht="20.100000000000001" customHeight="1" x14ac:dyDescent="0.3"/>
    <row r="860" ht="20.100000000000001" customHeight="1" x14ac:dyDescent="0.3"/>
    <row r="861" ht="20.100000000000001" customHeight="1" x14ac:dyDescent="0.3"/>
    <row r="862" ht="20.100000000000001" customHeight="1" x14ac:dyDescent="0.3"/>
    <row r="863" ht="20.100000000000001" customHeight="1" x14ac:dyDescent="0.3"/>
    <row r="864" ht="20.100000000000001" customHeight="1" x14ac:dyDescent="0.3"/>
    <row r="865" ht="20.100000000000001" customHeight="1" x14ac:dyDescent="0.3"/>
    <row r="866" ht="20.100000000000001" customHeight="1" x14ac:dyDescent="0.3"/>
    <row r="867" ht="20.100000000000001" customHeight="1" x14ac:dyDescent="0.3"/>
    <row r="868" ht="20.100000000000001" customHeight="1" x14ac:dyDescent="0.3"/>
    <row r="869" ht="20.100000000000001" customHeight="1" x14ac:dyDescent="0.3"/>
    <row r="870" ht="20.100000000000001" customHeight="1" x14ac:dyDescent="0.3"/>
    <row r="871" ht="20.100000000000001" customHeight="1" x14ac:dyDescent="0.3"/>
    <row r="872" ht="20.100000000000001" customHeight="1" x14ac:dyDescent="0.3"/>
    <row r="873" ht="20.100000000000001" customHeight="1" x14ac:dyDescent="0.3"/>
    <row r="874" ht="20.100000000000001" customHeight="1" x14ac:dyDescent="0.3"/>
    <row r="875" ht="20.100000000000001" customHeight="1" x14ac:dyDescent="0.3"/>
    <row r="876" ht="20.100000000000001" customHeight="1" x14ac:dyDescent="0.3"/>
    <row r="877" ht="20.100000000000001" customHeight="1" x14ac:dyDescent="0.3"/>
    <row r="878" ht="20.100000000000001" customHeight="1" x14ac:dyDescent="0.3"/>
    <row r="879" ht="20.100000000000001" customHeight="1" x14ac:dyDescent="0.3"/>
    <row r="880" ht="20.100000000000001" customHeight="1" x14ac:dyDescent="0.3"/>
    <row r="881" ht="20.100000000000001" customHeight="1" x14ac:dyDescent="0.3"/>
    <row r="882" ht="20.100000000000001" customHeight="1" x14ac:dyDescent="0.3"/>
    <row r="883" ht="20.100000000000001" customHeight="1" x14ac:dyDescent="0.3"/>
    <row r="884" ht="20.100000000000001" customHeight="1" x14ac:dyDescent="0.3"/>
    <row r="885" ht="20.100000000000001" customHeight="1" x14ac:dyDescent="0.3"/>
    <row r="886" ht="20.100000000000001" customHeight="1" x14ac:dyDescent="0.3"/>
    <row r="887" ht="20.100000000000001" customHeight="1" x14ac:dyDescent="0.3"/>
    <row r="888" ht="20.100000000000001" customHeight="1" x14ac:dyDescent="0.3"/>
    <row r="889" ht="20.100000000000001" customHeight="1" x14ac:dyDescent="0.3"/>
    <row r="890" ht="20.100000000000001" customHeight="1" x14ac:dyDescent="0.3"/>
    <row r="891" ht="20.100000000000001" customHeight="1" x14ac:dyDescent="0.3"/>
    <row r="892" ht="20.100000000000001" customHeight="1" x14ac:dyDescent="0.3"/>
    <row r="893" ht="20.100000000000001" customHeight="1" x14ac:dyDescent="0.3"/>
    <row r="894" ht="20.100000000000001" customHeight="1" x14ac:dyDescent="0.3"/>
    <row r="895" ht="20.100000000000001" customHeight="1" x14ac:dyDescent="0.3"/>
    <row r="896" ht="20.100000000000001" customHeight="1" x14ac:dyDescent="0.3"/>
    <row r="897" ht="20.100000000000001" customHeight="1" x14ac:dyDescent="0.3"/>
    <row r="898" ht="20.100000000000001" customHeight="1" x14ac:dyDescent="0.3"/>
    <row r="899" ht="20.100000000000001" customHeight="1" x14ac:dyDescent="0.3"/>
    <row r="900" ht="20.100000000000001" customHeight="1" x14ac:dyDescent="0.3"/>
    <row r="901" ht="20.100000000000001" customHeight="1" x14ac:dyDescent="0.3"/>
    <row r="902" ht="20.100000000000001" customHeight="1" x14ac:dyDescent="0.3"/>
    <row r="903" ht="20.100000000000001" customHeight="1" x14ac:dyDescent="0.3"/>
    <row r="904" ht="20.100000000000001" customHeight="1" x14ac:dyDescent="0.3"/>
    <row r="905" ht="20.100000000000001" customHeight="1" x14ac:dyDescent="0.3"/>
    <row r="906" ht="20.100000000000001" customHeight="1" x14ac:dyDescent="0.3"/>
    <row r="907" ht="20.100000000000001" customHeight="1" x14ac:dyDescent="0.3"/>
    <row r="908" ht="20.100000000000001" customHeight="1" x14ac:dyDescent="0.3"/>
    <row r="909" ht="20.100000000000001" customHeight="1" x14ac:dyDescent="0.3"/>
    <row r="910" ht="20.100000000000001" customHeight="1" x14ac:dyDescent="0.3"/>
    <row r="911" ht="20.100000000000001" customHeight="1" x14ac:dyDescent="0.3"/>
    <row r="912" ht="20.100000000000001" customHeight="1" x14ac:dyDescent="0.3"/>
    <row r="913" ht="20.100000000000001" customHeight="1" x14ac:dyDescent="0.3"/>
    <row r="914" ht="20.100000000000001" customHeight="1" x14ac:dyDescent="0.3"/>
    <row r="915" ht="20.100000000000001" customHeight="1" x14ac:dyDescent="0.3"/>
    <row r="916" ht="20.100000000000001" customHeight="1" x14ac:dyDescent="0.3"/>
    <row r="917" ht="20.100000000000001" customHeight="1" x14ac:dyDescent="0.3"/>
    <row r="918" ht="20.100000000000001" customHeight="1" x14ac:dyDescent="0.3"/>
    <row r="919" ht="20.100000000000001" customHeight="1" x14ac:dyDescent="0.3"/>
    <row r="920" ht="20.100000000000001" customHeight="1" x14ac:dyDescent="0.3"/>
    <row r="921" ht="20.100000000000001" customHeight="1" x14ac:dyDescent="0.3"/>
    <row r="922" ht="20.100000000000001" customHeight="1" x14ac:dyDescent="0.3"/>
    <row r="923" ht="20.100000000000001" customHeight="1" x14ac:dyDescent="0.3"/>
    <row r="924" ht="20.100000000000001" customHeight="1" x14ac:dyDescent="0.3"/>
    <row r="925" ht="20.100000000000001" customHeight="1" x14ac:dyDescent="0.3"/>
    <row r="926" ht="20.100000000000001" customHeight="1" x14ac:dyDescent="0.3"/>
    <row r="927" ht="20.100000000000001" customHeight="1" x14ac:dyDescent="0.3"/>
    <row r="928" ht="20.100000000000001" customHeight="1" x14ac:dyDescent="0.3"/>
    <row r="929" ht="20.100000000000001" customHeight="1" x14ac:dyDescent="0.3"/>
    <row r="930" ht="20.100000000000001" customHeight="1" x14ac:dyDescent="0.3"/>
    <row r="931" ht="20.100000000000001" customHeight="1" x14ac:dyDescent="0.3"/>
    <row r="932" ht="20.100000000000001" customHeight="1" x14ac:dyDescent="0.3"/>
    <row r="933" ht="20.100000000000001" customHeight="1" x14ac:dyDescent="0.3"/>
    <row r="934" ht="20.100000000000001" customHeight="1" x14ac:dyDescent="0.3"/>
    <row r="935" ht="20.100000000000001" customHeight="1" x14ac:dyDescent="0.3"/>
    <row r="936" ht="20.100000000000001" customHeight="1" x14ac:dyDescent="0.3"/>
    <row r="937" ht="20.100000000000001" customHeight="1" x14ac:dyDescent="0.3"/>
    <row r="938" ht="20.100000000000001" customHeight="1" x14ac:dyDescent="0.3"/>
    <row r="939" ht="20.100000000000001" customHeight="1" x14ac:dyDescent="0.3"/>
    <row r="940" ht="20.100000000000001" customHeight="1" x14ac:dyDescent="0.3"/>
    <row r="941" ht="20.100000000000001" customHeight="1" x14ac:dyDescent="0.3"/>
    <row r="942" ht="20.100000000000001" customHeight="1" x14ac:dyDescent="0.3"/>
    <row r="943" ht="20.100000000000001" customHeight="1" x14ac:dyDescent="0.3"/>
    <row r="944" ht="20.100000000000001" customHeight="1" x14ac:dyDescent="0.3"/>
    <row r="945" ht="20.100000000000001" customHeight="1" x14ac:dyDescent="0.3"/>
    <row r="946" ht="20.100000000000001" customHeight="1" x14ac:dyDescent="0.3"/>
    <row r="947" ht="20.100000000000001" customHeight="1" x14ac:dyDescent="0.3"/>
    <row r="948" ht="20.100000000000001" customHeight="1" x14ac:dyDescent="0.3"/>
    <row r="949" ht="20.100000000000001" customHeight="1" x14ac:dyDescent="0.3"/>
    <row r="950" ht="20.100000000000001" customHeight="1" x14ac:dyDescent="0.3"/>
    <row r="951" ht="20.100000000000001" customHeight="1" x14ac:dyDescent="0.3"/>
    <row r="952" ht="20.100000000000001" customHeight="1" x14ac:dyDescent="0.3"/>
    <row r="953" ht="20.100000000000001" customHeight="1" x14ac:dyDescent="0.3"/>
    <row r="954" ht="20.100000000000001" customHeight="1" x14ac:dyDescent="0.3"/>
    <row r="955" ht="20.100000000000001" customHeight="1" x14ac:dyDescent="0.3"/>
    <row r="956" ht="20.100000000000001" customHeight="1" x14ac:dyDescent="0.3"/>
    <row r="957" ht="20.100000000000001" customHeight="1" x14ac:dyDescent="0.3"/>
    <row r="958" ht="20.100000000000001" customHeight="1" x14ac:dyDescent="0.3"/>
    <row r="959" ht="20.100000000000001" customHeight="1" x14ac:dyDescent="0.3"/>
    <row r="960" ht="20.100000000000001" customHeight="1" x14ac:dyDescent="0.3"/>
    <row r="961" ht="20.100000000000001" customHeight="1" x14ac:dyDescent="0.3"/>
    <row r="962" ht="20.100000000000001" customHeight="1" x14ac:dyDescent="0.3"/>
    <row r="963" ht="20.100000000000001" customHeight="1" x14ac:dyDescent="0.3"/>
    <row r="964" ht="20.100000000000001" customHeight="1" x14ac:dyDescent="0.3"/>
    <row r="965" ht="20.100000000000001" customHeight="1" x14ac:dyDescent="0.3"/>
    <row r="966" ht="20.100000000000001" customHeight="1" x14ac:dyDescent="0.3"/>
    <row r="967" ht="20.100000000000001" customHeight="1" x14ac:dyDescent="0.3"/>
    <row r="968" ht="20.100000000000001" customHeight="1" x14ac:dyDescent="0.3"/>
    <row r="969" ht="20.100000000000001" customHeight="1" x14ac:dyDescent="0.3"/>
    <row r="970" ht="20.100000000000001" customHeight="1" x14ac:dyDescent="0.3"/>
    <row r="971" ht="20.100000000000001" customHeight="1" x14ac:dyDescent="0.3"/>
    <row r="972" ht="20.100000000000001" customHeight="1" x14ac:dyDescent="0.3"/>
    <row r="973" ht="20.100000000000001" customHeight="1" x14ac:dyDescent="0.3"/>
    <row r="974" ht="20.100000000000001" customHeight="1" x14ac:dyDescent="0.3"/>
    <row r="975" ht="20.100000000000001" customHeight="1" x14ac:dyDescent="0.3"/>
    <row r="976" ht="20.100000000000001" customHeight="1" x14ac:dyDescent="0.3"/>
    <row r="977" ht="20.100000000000001" customHeight="1" x14ac:dyDescent="0.3"/>
    <row r="978" ht="20.100000000000001" customHeight="1" x14ac:dyDescent="0.3"/>
    <row r="979" ht="20.100000000000001" customHeight="1" x14ac:dyDescent="0.3"/>
    <row r="980" ht="20.100000000000001" customHeight="1" x14ac:dyDescent="0.3"/>
    <row r="981" ht="20.100000000000001" customHeight="1" x14ac:dyDescent="0.3"/>
    <row r="982" ht="20.100000000000001" customHeight="1" x14ac:dyDescent="0.3"/>
    <row r="983" ht="20.100000000000001" customHeight="1" x14ac:dyDescent="0.3"/>
    <row r="984" ht="20.100000000000001" customHeight="1" x14ac:dyDescent="0.3"/>
    <row r="985" ht="20.100000000000001" customHeight="1" x14ac:dyDescent="0.3"/>
    <row r="986" ht="20.100000000000001" customHeight="1" x14ac:dyDescent="0.3"/>
    <row r="987" ht="20.100000000000001" customHeight="1" x14ac:dyDescent="0.3"/>
    <row r="988" ht="20.100000000000001" customHeight="1" x14ac:dyDescent="0.3"/>
    <row r="989" ht="20.100000000000001" customHeight="1" x14ac:dyDescent="0.3"/>
    <row r="990" ht="20.100000000000001" customHeight="1" x14ac:dyDescent="0.3"/>
    <row r="991" ht="20.100000000000001" customHeight="1" x14ac:dyDescent="0.3"/>
    <row r="992" ht="20.100000000000001" customHeight="1" x14ac:dyDescent="0.3"/>
    <row r="993" ht="20.100000000000001" customHeight="1" x14ac:dyDescent="0.3"/>
    <row r="994" ht="20.100000000000001" customHeight="1" x14ac:dyDescent="0.3"/>
    <row r="995" ht="20.100000000000001" customHeight="1" x14ac:dyDescent="0.3"/>
    <row r="996" ht="20.100000000000001" customHeight="1" x14ac:dyDescent="0.3"/>
    <row r="997" ht="20.100000000000001" customHeight="1" x14ac:dyDescent="0.3"/>
    <row r="998" ht="20.100000000000001" customHeight="1" x14ac:dyDescent="0.3"/>
    <row r="999" ht="20.100000000000001" customHeight="1" x14ac:dyDescent="0.3"/>
    <row r="1000" ht="20.100000000000001" customHeight="1" x14ac:dyDescent="0.3"/>
    <row r="1001" ht="20.100000000000001" customHeight="1" x14ac:dyDescent="0.3"/>
    <row r="1002" ht="20.100000000000001" customHeight="1" x14ac:dyDescent="0.3"/>
    <row r="1003" ht="20.100000000000001" customHeight="1" x14ac:dyDescent="0.3"/>
    <row r="1004" ht="20.100000000000001" customHeight="1" x14ac:dyDescent="0.3"/>
    <row r="1005" ht="20.100000000000001" customHeight="1" x14ac:dyDescent="0.3"/>
    <row r="1006" ht="20.100000000000001" customHeight="1" x14ac:dyDescent="0.3"/>
    <row r="1007" ht="20.100000000000001" customHeight="1" x14ac:dyDescent="0.3"/>
    <row r="1008" ht="20.100000000000001" customHeight="1" x14ac:dyDescent="0.3"/>
    <row r="1009" ht="20.100000000000001" customHeight="1" x14ac:dyDescent="0.3"/>
    <row r="1010" ht="20.100000000000001" customHeight="1" x14ac:dyDescent="0.3"/>
    <row r="1011" ht="20.100000000000001" customHeight="1" x14ac:dyDescent="0.3"/>
    <row r="1012" ht="20.100000000000001" customHeight="1" x14ac:dyDescent="0.3"/>
    <row r="1013" ht="20.100000000000001" customHeight="1" x14ac:dyDescent="0.3"/>
    <row r="1014" ht="20.100000000000001" customHeight="1" x14ac:dyDescent="0.3"/>
    <row r="1015" ht="20.100000000000001" customHeight="1" x14ac:dyDescent="0.3"/>
    <row r="1016" ht="20.100000000000001" customHeight="1" x14ac:dyDescent="0.3"/>
    <row r="1017" ht="20.100000000000001" customHeight="1" x14ac:dyDescent="0.3"/>
    <row r="1018" ht="20.100000000000001" customHeight="1" x14ac:dyDescent="0.3"/>
    <row r="1019" ht="20.100000000000001" customHeight="1" x14ac:dyDescent="0.3"/>
    <row r="1020" ht="20.100000000000001" customHeight="1" x14ac:dyDescent="0.3"/>
    <row r="1021" ht="20.100000000000001" customHeight="1" x14ac:dyDescent="0.3"/>
    <row r="1022" ht="20.100000000000001" customHeight="1" x14ac:dyDescent="0.3"/>
    <row r="1023" ht="20.100000000000001" customHeight="1" x14ac:dyDescent="0.3"/>
    <row r="1024" ht="20.100000000000001" customHeight="1" x14ac:dyDescent="0.3"/>
    <row r="1025" ht="20.100000000000001" customHeight="1" x14ac:dyDescent="0.3"/>
    <row r="1026" ht="20.100000000000001" customHeight="1" x14ac:dyDescent="0.3"/>
    <row r="1027" ht="20.100000000000001" customHeight="1" x14ac:dyDescent="0.3"/>
    <row r="1028" ht="20.100000000000001" customHeight="1" x14ac:dyDescent="0.3"/>
    <row r="1029" ht="20.100000000000001" customHeight="1" x14ac:dyDescent="0.3"/>
    <row r="1030" ht="20.100000000000001" customHeight="1" x14ac:dyDescent="0.3"/>
    <row r="1031" ht="20.100000000000001" customHeight="1" x14ac:dyDescent="0.3"/>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9C8AF-30EF-49C1-AD3A-794D583F579A}">
  <dimension ref="A1:AX20"/>
  <sheetViews>
    <sheetView rightToLeft="1" topLeftCell="AC1" zoomScale="51" workbookViewId="0">
      <selection activeCell="AQ11" sqref="AQ11:AQ19"/>
      <pivotSelection pane="bottomRight" showHeader="1" activeRow="12" activeCol="42" click="1" r:id="rId9">
        <pivotArea dataOnly="0" labelOnly="1" fieldPosition="0">
          <references count="1">
            <reference field="2" count="0"/>
          </references>
        </pivotArea>
      </pivotSelection>
    </sheetView>
  </sheetViews>
  <sheetFormatPr defaultRowHeight="14.4" x14ac:dyDescent="0.3"/>
  <cols>
    <col min="2" max="2" width="17.109375" bestFit="1" customWidth="1"/>
    <col min="3" max="3" width="11.33203125" bestFit="1" customWidth="1"/>
    <col min="5" max="5" width="8.88671875" style="12"/>
    <col min="7" max="7" width="16.21875" bestFit="1" customWidth="1"/>
    <col min="8" max="8" width="13.109375" bestFit="1" customWidth="1"/>
    <col min="11" max="11" width="8.88671875" style="12"/>
    <col min="13" max="13" width="21.6640625" bestFit="1" customWidth="1"/>
    <col min="16" max="16" width="8.88671875" style="12"/>
    <col min="18" max="18" width="18.88671875" bestFit="1" customWidth="1"/>
    <col min="19" max="19" width="16.88671875" bestFit="1" customWidth="1"/>
    <col min="21" max="21" width="8.88671875" style="12"/>
    <col min="23" max="23" width="18.88671875" bestFit="1" customWidth="1"/>
    <col min="24" max="24" width="16.21875" bestFit="1" customWidth="1"/>
    <col min="26" max="26" width="8.88671875" style="12"/>
    <col min="28" max="28" width="18.88671875" bestFit="1" customWidth="1"/>
    <col min="29" max="29" width="16.21875" bestFit="1" customWidth="1"/>
    <col min="31" max="31" width="8.88671875" style="12"/>
    <col min="33" max="33" width="18.88671875" bestFit="1" customWidth="1"/>
    <col min="34" max="34" width="24.109375" bestFit="1" customWidth="1"/>
    <col min="36" max="36" width="8.88671875" style="12"/>
    <col min="38" max="38" width="18.88671875" bestFit="1" customWidth="1"/>
    <col min="39" max="39" width="16.21875" bestFit="1" customWidth="1"/>
    <col min="41" max="41" width="8.88671875" style="12"/>
    <col min="43" max="43" width="18.88671875" bestFit="1" customWidth="1"/>
    <col min="44" max="44" width="16.21875" bestFit="1" customWidth="1"/>
    <col min="46" max="46" width="8.88671875" style="12"/>
    <col min="48" max="48" width="40.21875" bestFit="1" customWidth="1"/>
    <col min="49" max="49" width="17.21875" bestFit="1" customWidth="1"/>
    <col min="50" max="50" width="8.88671875" style="12"/>
  </cols>
  <sheetData>
    <row r="1" spans="1:49" x14ac:dyDescent="0.3">
      <c r="A1" s="12"/>
      <c r="B1" s="19" t="s">
        <v>291</v>
      </c>
      <c r="C1" s="18"/>
      <c r="D1" s="12"/>
      <c r="F1" s="12"/>
      <c r="G1" s="21" t="s">
        <v>292</v>
      </c>
      <c r="H1" s="18"/>
      <c r="I1" s="18"/>
      <c r="J1" s="12"/>
      <c r="L1" s="12"/>
      <c r="M1" s="22" t="s">
        <v>295</v>
      </c>
      <c r="N1" s="18"/>
      <c r="O1" s="12"/>
      <c r="Q1" s="12"/>
      <c r="R1" s="17" t="s">
        <v>300</v>
      </c>
      <c r="S1" s="18"/>
      <c r="T1" s="12"/>
      <c r="V1" s="12"/>
      <c r="W1" s="22" t="s">
        <v>302</v>
      </c>
      <c r="X1" s="18"/>
      <c r="Y1" s="12"/>
      <c r="AA1" s="12"/>
      <c r="AB1" s="22" t="s">
        <v>304</v>
      </c>
      <c r="AC1" s="18"/>
      <c r="AD1" s="12"/>
      <c r="AF1" s="12"/>
      <c r="AG1" s="17" t="s">
        <v>305</v>
      </c>
      <c r="AH1" s="18"/>
      <c r="AI1" s="12"/>
      <c r="AK1" s="12"/>
      <c r="AL1" s="19" t="s">
        <v>306</v>
      </c>
      <c r="AM1" s="18"/>
      <c r="AN1" s="12"/>
      <c r="AP1" s="12"/>
      <c r="AQ1" s="17" t="s">
        <v>307</v>
      </c>
      <c r="AR1" s="18"/>
      <c r="AS1" s="12"/>
      <c r="AU1" s="12"/>
      <c r="AV1" s="20" t="s">
        <v>310</v>
      </c>
      <c r="AW1" s="12"/>
    </row>
    <row r="2" spans="1:49" x14ac:dyDescent="0.3">
      <c r="A2" s="12"/>
      <c r="B2" s="18"/>
      <c r="C2" s="18"/>
      <c r="D2" s="12"/>
      <c r="F2" s="12"/>
      <c r="G2" s="18"/>
      <c r="H2" s="18"/>
      <c r="I2" s="18"/>
      <c r="J2" s="12"/>
      <c r="L2" s="12"/>
      <c r="M2" s="18"/>
      <c r="N2" s="18"/>
      <c r="O2" s="12"/>
      <c r="Q2" s="12"/>
      <c r="R2" s="18"/>
      <c r="S2" s="18"/>
      <c r="T2" s="12"/>
      <c r="V2" s="12"/>
      <c r="W2" s="18"/>
      <c r="X2" s="18"/>
      <c r="Y2" s="12"/>
      <c r="AA2" s="12"/>
      <c r="AB2" s="18"/>
      <c r="AC2" s="18"/>
      <c r="AD2" s="12"/>
      <c r="AF2" s="12"/>
      <c r="AG2" s="18"/>
      <c r="AH2" s="18"/>
      <c r="AI2" s="12"/>
      <c r="AK2" s="12"/>
      <c r="AL2" s="18"/>
      <c r="AM2" s="18"/>
      <c r="AN2" s="12"/>
      <c r="AP2" s="12"/>
      <c r="AQ2" s="18"/>
      <c r="AR2" s="18"/>
      <c r="AS2" s="12"/>
      <c r="AU2" s="12"/>
      <c r="AV2" s="18"/>
      <c r="AW2" s="12"/>
    </row>
    <row r="6" spans="1:49" ht="15.6" x14ac:dyDescent="0.3">
      <c r="B6" t="s">
        <v>290</v>
      </c>
      <c r="M6" t="s">
        <v>296</v>
      </c>
      <c r="R6" s="11" t="s">
        <v>293</v>
      </c>
      <c r="S6" t="s">
        <v>299</v>
      </c>
      <c r="AU6" s="5" t="s">
        <v>311</v>
      </c>
      <c r="AV6">
        <v>75</v>
      </c>
    </row>
    <row r="7" spans="1:49" x14ac:dyDescent="0.3">
      <c r="B7" s="16">
        <v>1076738.3154399998</v>
      </c>
      <c r="G7" t="s">
        <v>313</v>
      </c>
      <c r="M7" s="16">
        <v>10353.25303307692</v>
      </c>
      <c r="R7" s="6" t="s">
        <v>186</v>
      </c>
      <c r="S7" s="23">
        <v>4</v>
      </c>
      <c r="AB7" s="11" t="s">
        <v>293</v>
      </c>
      <c r="AC7" t="s">
        <v>301</v>
      </c>
    </row>
    <row r="8" spans="1:49" ht="15.6" x14ac:dyDescent="0.3">
      <c r="G8" s="23">
        <v>51</v>
      </c>
      <c r="R8" s="6" t="s">
        <v>49</v>
      </c>
      <c r="S8" s="23">
        <v>10</v>
      </c>
      <c r="AB8" s="6" t="s">
        <v>303</v>
      </c>
      <c r="AC8" s="23">
        <v>38</v>
      </c>
      <c r="AG8" s="11" t="s">
        <v>293</v>
      </c>
      <c r="AH8" t="s">
        <v>298</v>
      </c>
      <c r="AL8" s="11" t="s">
        <v>293</v>
      </c>
      <c r="AM8" t="s">
        <v>301</v>
      </c>
      <c r="AU8" s="5" t="s">
        <v>312</v>
      </c>
      <c r="AV8">
        <v>3</v>
      </c>
    </row>
    <row r="9" spans="1:49" x14ac:dyDescent="0.3">
      <c r="B9" s="16">
        <f>GETPIVOTDATA("سعر البيع ",$B$6)</f>
        <v>1076738.3154399998</v>
      </c>
      <c r="G9">
        <f>GETPIVOTDATA("المنتج",$G$7)</f>
        <v>51</v>
      </c>
      <c r="M9" s="16">
        <f>GETPIVOTDATA("سعر البيع ",$M$6)</f>
        <v>10353.25303307692</v>
      </c>
      <c r="R9" s="6" t="s">
        <v>36</v>
      </c>
      <c r="S9" s="23">
        <v>7</v>
      </c>
      <c r="W9" s="11" t="s">
        <v>293</v>
      </c>
      <c r="X9" t="s">
        <v>301</v>
      </c>
      <c r="AB9" s="6" t="s">
        <v>154</v>
      </c>
      <c r="AC9" s="23">
        <v>28</v>
      </c>
      <c r="AG9" s="6" t="s">
        <v>308</v>
      </c>
      <c r="AH9" s="14">
        <v>0.95049504950495045</v>
      </c>
      <c r="AL9" s="6" t="s">
        <v>176</v>
      </c>
      <c r="AM9" s="14">
        <v>0.79807692307692313</v>
      </c>
    </row>
    <row r="10" spans="1:49" x14ac:dyDescent="0.3">
      <c r="R10" s="6" t="s">
        <v>45</v>
      </c>
      <c r="S10" s="23">
        <v>7</v>
      </c>
      <c r="W10" s="6" t="s">
        <v>139</v>
      </c>
      <c r="X10" s="23">
        <v>70</v>
      </c>
      <c r="AB10" s="6" t="s">
        <v>159</v>
      </c>
      <c r="AC10" s="23">
        <v>7</v>
      </c>
      <c r="AG10" s="6" t="s">
        <v>309</v>
      </c>
      <c r="AH10" s="14">
        <v>4.9504950495049507E-2</v>
      </c>
      <c r="AL10" s="6" t="s">
        <v>183</v>
      </c>
      <c r="AM10" s="14">
        <v>9.6153846153846159E-3</v>
      </c>
      <c r="AQ10" s="11" t="s">
        <v>293</v>
      </c>
      <c r="AR10" t="s">
        <v>301</v>
      </c>
    </row>
    <row r="11" spans="1:49" x14ac:dyDescent="0.3">
      <c r="R11" s="6" t="s">
        <v>237</v>
      </c>
      <c r="S11" s="23">
        <v>3</v>
      </c>
      <c r="W11" s="6" t="s">
        <v>246</v>
      </c>
      <c r="X11" s="23">
        <v>17</v>
      </c>
      <c r="AB11" s="6" t="s">
        <v>157</v>
      </c>
      <c r="AC11" s="23">
        <v>3</v>
      </c>
      <c r="AG11" s="6" t="s">
        <v>294</v>
      </c>
      <c r="AH11" s="13">
        <v>1</v>
      </c>
      <c r="AL11" s="6" t="s">
        <v>229</v>
      </c>
      <c r="AM11" s="14">
        <v>0.19230769230769232</v>
      </c>
      <c r="AQ11" s="6" t="s">
        <v>282</v>
      </c>
      <c r="AR11" s="23">
        <v>54</v>
      </c>
    </row>
    <row r="12" spans="1:49" x14ac:dyDescent="0.3">
      <c r="R12" s="6" t="s">
        <v>231</v>
      </c>
      <c r="S12" s="23">
        <v>1</v>
      </c>
      <c r="W12" s="6" t="s">
        <v>149</v>
      </c>
      <c r="X12" s="23">
        <v>14</v>
      </c>
      <c r="AB12" s="6" t="s">
        <v>162</v>
      </c>
      <c r="AC12" s="23">
        <v>2</v>
      </c>
      <c r="AL12" s="6" t="s">
        <v>294</v>
      </c>
      <c r="AM12" s="13">
        <v>1</v>
      </c>
      <c r="AQ12" s="6" t="s">
        <v>278</v>
      </c>
      <c r="AR12" s="23">
        <v>27</v>
      </c>
    </row>
    <row r="13" spans="1:49" x14ac:dyDescent="0.3">
      <c r="R13" s="6" t="s">
        <v>210</v>
      </c>
      <c r="S13" s="23">
        <v>2</v>
      </c>
      <c r="W13" s="6" t="s">
        <v>150</v>
      </c>
      <c r="X13" s="23">
        <v>1</v>
      </c>
      <c r="AB13" s="6" t="s">
        <v>160</v>
      </c>
      <c r="AC13" s="23">
        <v>2</v>
      </c>
      <c r="AQ13" s="6" t="s">
        <v>281</v>
      </c>
      <c r="AR13" s="23">
        <v>7</v>
      </c>
    </row>
    <row r="14" spans="1:49" x14ac:dyDescent="0.3">
      <c r="R14" s="6" t="s">
        <v>6</v>
      </c>
      <c r="S14" s="23">
        <v>70</v>
      </c>
      <c r="W14" s="6" t="s">
        <v>146</v>
      </c>
      <c r="X14" s="23">
        <v>1</v>
      </c>
      <c r="AB14" s="6" t="s">
        <v>203</v>
      </c>
      <c r="AC14" s="23">
        <v>2</v>
      </c>
      <c r="AQ14" s="6" t="s">
        <v>285</v>
      </c>
      <c r="AR14" s="23">
        <v>4</v>
      </c>
    </row>
    <row r="15" spans="1:49" x14ac:dyDescent="0.3">
      <c r="R15" s="6" t="s">
        <v>294</v>
      </c>
      <c r="S15" s="23">
        <v>104</v>
      </c>
      <c r="W15" s="6" t="s">
        <v>191</v>
      </c>
      <c r="X15" s="23">
        <v>1</v>
      </c>
      <c r="AB15" s="6" t="s">
        <v>192</v>
      </c>
      <c r="AC15" s="23">
        <v>1</v>
      </c>
      <c r="AQ15" s="6" t="s">
        <v>185</v>
      </c>
      <c r="AR15" s="23">
        <v>4</v>
      </c>
    </row>
    <row r="16" spans="1:49" x14ac:dyDescent="0.3">
      <c r="W16" s="6" t="s">
        <v>294</v>
      </c>
      <c r="X16" s="23">
        <v>104</v>
      </c>
      <c r="AB16" s="6" t="s">
        <v>294</v>
      </c>
      <c r="AC16" s="23">
        <v>83</v>
      </c>
      <c r="AQ16" s="6" t="s">
        <v>284</v>
      </c>
      <c r="AR16" s="23">
        <v>4</v>
      </c>
    </row>
    <row r="17" spans="43:44" x14ac:dyDescent="0.3">
      <c r="AQ17" s="6" t="s">
        <v>280</v>
      </c>
      <c r="AR17" s="23">
        <v>2</v>
      </c>
    </row>
    <row r="18" spans="43:44" x14ac:dyDescent="0.3">
      <c r="AQ18" s="6" t="s">
        <v>279</v>
      </c>
      <c r="AR18" s="23">
        <v>1</v>
      </c>
    </row>
    <row r="19" spans="43:44" x14ac:dyDescent="0.3">
      <c r="AQ19" s="6" t="s">
        <v>283</v>
      </c>
      <c r="AR19" s="23">
        <v>1</v>
      </c>
    </row>
    <row r="20" spans="43:44" x14ac:dyDescent="0.3">
      <c r="AQ20" s="6" t="s">
        <v>294</v>
      </c>
      <c r="AR20" s="23">
        <v>104</v>
      </c>
    </row>
  </sheetData>
  <mergeCells count="10">
    <mergeCell ref="AG1:AH2"/>
    <mergeCell ref="AL1:AM2"/>
    <mergeCell ref="AQ1:AR2"/>
    <mergeCell ref="AV1:AV2"/>
    <mergeCell ref="B1:C2"/>
    <mergeCell ref="G1:I2"/>
    <mergeCell ref="M1:N2"/>
    <mergeCell ref="R1:S2"/>
    <mergeCell ref="W1:X2"/>
    <mergeCell ref="AB1:AC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B016A-805F-4957-A78F-D8FED1F05158}">
  <dimension ref="A1"/>
  <sheetViews>
    <sheetView showGridLines="0" tabSelected="1" zoomScale="91" zoomScaleNormal="97" workbookViewId="0">
      <selection activeCell="V17" sqref="V17"/>
    </sheetView>
  </sheetViews>
  <sheetFormatPr defaultRowHeight="14.4" x14ac:dyDescent="0.3"/>
  <cols>
    <col min="1" max="16384" width="8.88671875" style="1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ED0D54B-8BFA-4AA8-8841-5210144D9D4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البيانات</vt:lpstr>
      <vt:lpstr>التحليل</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Ahmed Wael</cp:lastModifiedBy>
  <dcterms:created xsi:type="dcterms:W3CDTF">2015-06-05T18:17:20Z</dcterms:created>
  <dcterms:modified xsi:type="dcterms:W3CDTF">2026-01-31T20:41:56Z</dcterms:modified>
</cp:coreProperties>
</file>